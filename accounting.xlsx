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3-Statement Summary" sheetId="2" state="visible" r:id="rId4"/>
    <sheet name="Ratio Analysis" sheetId="3" state="visible" r:id="rId5"/>
    <sheet name="HEYDUDE Purchase Acctg" sheetId="4" state="visible" r:id="rId6"/>
    <sheet name="Debt Schedule" sheetId="5" state="visible" r:id="rId7"/>
    <sheet name="Accounting Fou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<sst xmlns="http://schemas.openxmlformats.org/spreadsheetml/2006/main" count="257" uniqueCount="210">
  <si>
    <t xml:space="preserve">CROCS, INC. (NASDAQ: CROX)</t>
  </si>
  <si>
    <t xml:space="preserve">Accounting Deep-Dive — Finance Portfolio Piece</t>
  </si>
  <si>
    <t xml:space="preserve">Prepared by Ajai Upadhyaya  |  Model date: July 5, 2026</t>
  </si>
  <si>
    <t xml:space="preserve">WHY CROCS</t>
  </si>
  <si>
    <t xml:space="preserve">Crocs is a genuinely rich accounting case study, not just a footwear company:</t>
  </si>
  <si>
    <t xml:space="preserve">  - A $2.5B acquisition (HEYDUDE, Feb 2022) funded mostly with new debt -&gt; real purchase accounting</t>
  </si>
  <si>
    <t xml:space="preserve">  - Goodwill + indefinite-lived trademarks + amortizable customer relationships, all in one deal</t>
  </si>
  <si>
    <t xml:space="preserve">  - A subsequent $738mm impairment charge in 2025 -&gt; real impairment testing / write-down mechanics</t>
  </si>
  <si>
    <t xml:space="preserve">  - A multi-tranche debt stack (Term Loan B, two bond tranches, revolver) with a genuine 3-year</t>
  </si>
  <si>
    <t xml:space="preserve">    deleveraging story ($2.0B Term Loan B down to $575mm) -&gt; real covenant &amp; credit analysis</t>
  </si>
  <si>
    <t xml:space="preserve">  - Two very differently-behaved brands (Crocs vs HEYDUDE) inside one income statement -&gt; real</t>
  </si>
  <si>
    <t xml:space="preserve">    segment reporting and margin-mix analysis</t>
  </si>
  <si>
    <t xml:space="preserve">MODEL CONTENTS</t>
  </si>
  <si>
    <t xml:space="preserve">1. 3-Statement Summary</t>
  </si>
  <si>
    <t xml:space="preserve">FY2021-FY2024 income statement + simplified balance sheet/cash flow, sourced from 10-Ks &amp; earnings releases</t>
  </si>
  <si>
    <t xml:space="preserve">2. Ratio Analysis &amp; DuPont</t>
  </si>
  <si>
    <t xml:space="preserve">5-year liquidity, leverage, and profitability ratios; full 3-step DuPont ROE decomposition</t>
  </si>
  <si>
    <t xml:space="preserve">3. HEYDUDE Purchase Accounting</t>
  </si>
  <si>
    <t xml:space="preserve">Purchase price allocation, goodwill, intangible amortization schedule, and the 2025 impairment</t>
  </si>
  <si>
    <t xml:space="preserve">4. Debt Schedule &amp; Covenants</t>
  </si>
  <si>
    <t xml:space="preserve">Multi-tranche debt stack, interest expense build, leverage ratio trend (deleveraging story)</t>
  </si>
  <si>
    <t xml:space="preserve">5. Accounting Foundations</t>
  </si>
  <si>
    <t xml:space="preserve">Journal entries &amp; T-accounts for 4 real Crocs transactions: the accounting equation in action</t>
  </si>
  <si>
    <t xml:space="preserve">KEY COMPANY DATA</t>
  </si>
  <si>
    <t xml:space="preserve">Ticker / Exchange</t>
  </si>
  <si>
    <t xml:space="preserve">CROX / NASDAQ</t>
  </si>
  <si>
    <t xml:space="preserve">FY2024 Revenue</t>
  </si>
  <si>
    <t xml:space="preserve">HEYDUDE Acquisition Date</t>
  </si>
  <si>
    <t xml:space="preserve">February 17, 2022</t>
  </si>
  <si>
    <t xml:space="preserve">HEYDUDE Total Purchase Price</t>
  </si>
  <si>
    <t xml:space="preserve">2025 Goodwill/Intangible Impairment</t>
  </si>
  <si>
    <t xml:space="preserve">Sources: SEC EDGAR 10-K/10-Q filings (FY2021-FY2024), Crocs Inc. quarterly earnings releases</t>
  </si>
  <si>
    <t xml:space="preserve">(PRNewswire/investors.crocs.com), company 8-K acquisition announcement (Feb 2022).</t>
  </si>
  <si>
    <t xml:space="preserve">Color key: Blue = hardcoded input/source data.  Black = formula.  Green = cross-sheet link.</t>
  </si>
  <si>
    <t xml:space="preserve">CROCS, INC. — CONSOLIDATED INCOME STATEMENT ($ in millions)</t>
  </si>
  <si>
    <t xml:space="preserve">FY2021</t>
  </si>
  <si>
    <t xml:space="preserve">FY2022</t>
  </si>
  <si>
    <t xml:space="preserve">FY2023</t>
  </si>
  <si>
    <t xml:space="preserve">FY2024</t>
  </si>
  <si>
    <t xml:space="preserve">Revenues</t>
  </si>
  <si>
    <t xml:space="preserve">   Gross Margin %</t>
  </si>
  <si>
    <t xml:space="preserve">Gross Profit</t>
  </si>
  <si>
    <t xml:space="preserve">   Operating Margin %</t>
  </si>
  <si>
    <t xml:space="preserve">Operating Income (EBIT)</t>
  </si>
  <si>
    <t xml:space="preserve">   (implied) SG&amp;A + other opex</t>
  </si>
  <si>
    <t xml:space="preserve">Interest Expense, net (estimated)</t>
  </si>
  <si>
    <t xml:space="preserve">Income Before Taxes</t>
  </si>
  <si>
    <t xml:space="preserve">Net Income (as reported)</t>
  </si>
  <si>
    <t xml:space="preserve">   Income Tax Expense / (Benefit) [derived, see note]</t>
  </si>
  <si>
    <t xml:space="preserve">   Effective Tax Rate %</t>
  </si>
  <si>
    <t xml:space="preserve">   Net Margin %</t>
  </si>
  <si>
    <t xml:space="preserve">Diluted Weighted-Avg Shares (mm)</t>
  </si>
  <si>
    <t xml:space="preserve">Diluted EPS</t>
  </si>
  <si>
    <t xml:space="preserve">SIMPLIFIED BALANCE SHEET ($ in millions, year-end)</t>
  </si>
  <si>
    <t xml:space="preserve">Cash &amp; Equivalents</t>
  </si>
  <si>
    <t xml:space="preserve">Inventories</t>
  </si>
  <si>
    <t xml:space="preserve">Goodwill</t>
  </si>
  <si>
    <t xml:space="preserve">Intangible Assets, net</t>
  </si>
  <si>
    <t xml:space="preserve">Total Assets</t>
  </si>
  <si>
    <t xml:space="preserve">Total Debt (incl. leases)</t>
  </si>
  <si>
    <t xml:space="preserve">Total Stockholders' Equity</t>
  </si>
  <si>
    <t xml:space="preserve">Note: Interest expense is estimated from disclosed debt tranches and prevailing rates (see</t>
  </si>
  <si>
    <t xml:space="preserve">Debt Schedule tab); tax expense is therefore a derived 'plug' to tie to GAAP net income as</t>
  </si>
  <si>
    <t xml:space="preserve">reported. This mirrors real analyst practice when a company doesn't disclose every line in its</t>
  </si>
  <si>
    <t xml:space="preserve">earnings release. Several years show negative/low effective tax rates -- this is real and driven by</t>
  </si>
  <si>
    <t xml:space="preserve">discrete items Crocs disclosed (deferred tax asset benefits, stock comp windfalls, foreign tax mix),</t>
  </si>
  <si>
    <t xml:space="preserve">not a modeling error. Balance sheet: SEC EDGAR 10-Ks, Yahoo Finance historical balance sheets.</t>
  </si>
  <si>
    <t xml:space="preserve">PROFITABILITY, LIQUIDITY &amp; LEVERAGE RATIOS (FY2021-FY2024)</t>
  </si>
  <si>
    <t xml:space="preserve">Profitability</t>
  </si>
  <si>
    <t xml:space="preserve">Gross Margin %</t>
  </si>
  <si>
    <t xml:space="preserve">Operating Margin %</t>
  </si>
  <si>
    <t xml:space="preserve">Net Margin %</t>
  </si>
  <si>
    <t xml:space="preserve">Return on Assets (ROA)</t>
  </si>
  <si>
    <t xml:space="preserve">Return on Equity (ROE)</t>
  </si>
  <si>
    <t xml:space="preserve">Liquidity &amp; Efficiency</t>
  </si>
  <si>
    <t xml:space="preserve">Current Ratio (approx: Cash+Inv / Total Debt as proxy*)</t>
  </si>
  <si>
    <t xml:space="preserve">Asset Turnover (Revenue / Total Assets)</t>
  </si>
  <si>
    <t xml:space="preserve">Inventory as % of Total Assets</t>
  </si>
  <si>
    <t xml:space="preserve">Goodwill + Intangibles as % of Total Assets</t>
  </si>
  <si>
    <t xml:space="preserve">Leverage</t>
  </si>
  <si>
    <t xml:space="preserve">Debt / Equity</t>
  </si>
  <si>
    <t xml:space="preserve">Equity Multiplier (Total Assets / Total Equity)</t>
  </si>
  <si>
    <t xml:space="preserve">3-STEP DUPONT ROE DECOMPOSITION</t>
  </si>
  <si>
    <t xml:space="preserve">ROE  =  Net Margin  x  Asset Turnover  x  Equity Multiplier</t>
  </si>
  <si>
    <t xml:space="preserve">x</t>
  </si>
  <si>
    <t xml:space="preserve">=</t>
  </si>
  <si>
    <t xml:space="preserve">Reading the DuPont trend: FY2022's ROE dip is driven almost entirely by the Net Margin term</t>
  </si>
  <si>
    <t xml:space="preserve">(HEYDUDE integration costs + acquisition-related tax drag), not by Asset Turnover or Leverage --</t>
  </si>
  <si>
    <t xml:space="preserve">a useful diagnostic distinction: was the ROE change operational, or capital-structure driven?</t>
  </si>
  <si>
    <t xml:space="preserve">*Current ratio proxy uses cash+inventory vs. an estimated current-debt slice; full current liabilities</t>
  </si>
  <si>
    <t xml:space="preserve">were not separately retrieved for all 4 years from public sources, so this ratio is illustrative only.</t>
  </si>
  <si>
    <t xml:space="preserve">STEP 1 — PURCHASE PRICE (Consideration Transferred, Feb 17, 2022)</t>
  </si>
  <si>
    <t xml:space="preserve">Cash Consideration</t>
  </si>
  <si>
    <t xml:space="preserve">Stock Consideration: Shares Issued</t>
  </si>
  <si>
    <t xml:space="preserve">Crocs Share Price at Close (~Feb 17, 2022)</t>
  </si>
  <si>
    <t xml:space="preserve">Stock Consideration ($mm)</t>
  </si>
  <si>
    <t xml:space="preserve">TOTAL PURCHASE PRICE</t>
  </si>
  <si>
    <t xml:space="preserve">Financed by: $2.0B Term Loan B (2029) + $50mm Revolver draw + cash on hand</t>
  </si>
  <si>
    <t xml:space="preserve">STEP 2 — PURCHASE PRICE ALLOCATION (fair value of net assets acquired)</t>
  </si>
  <si>
    <t xml:space="preserve">Identifiable Intangible Assets (total, preliminary per 10-Q)</t>
  </si>
  <si>
    <t xml:space="preserve">   of which: Trademarks (indefinite-lived, not amortized)</t>
  </si>
  <si>
    <t xml:space="preserve">   of which: Customer Relationships (15-yr useful life)</t>
  </si>
  <si>
    <t xml:space="preserve">Goodwill (residual -- see Step 3)</t>
  </si>
  <si>
    <t xml:space="preserve">Net Tangible Assets (Liabilities) Acquired [residual/plug]</t>
  </si>
  <si>
    <t xml:space="preserve">   e.g. working capital, PP&amp;E, deferred tax liability on the intangible step-up, less debt assumed</t>
  </si>
  <si>
    <t xml:space="preserve">Check: Purchase Price = Net Tangible Assets + Identifiable Intangibles + Goodwill</t>
  </si>
  <si>
    <t xml:space="preserve">   Check value (should equal Total Purchase Price above):</t>
  </si>
  <si>
    <t xml:space="preserve">Note: goodwill is defined as the residual/plug in a purchase price allocation -- it is never</t>
  </si>
  <si>
    <t xml:space="preserve">independently measured. Trademark/Customer Relationships split is an illustrative allocation</t>
  </si>
  <si>
    <t xml:space="preserve">consistent with a brand-driven deal (exact split not separately broken out in public filings found).</t>
  </si>
  <si>
    <t xml:space="preserve">STEP 3 — INTANGIBLE AMORTIZATION SCHEDULE (Customer Relationships, straight-line)</t>
  </si>
  <si>
    <t xml:space="preserve">Useful Life (years)</t>
  </si>
  <si>
    <t xml:space="preserve">Annual Amortization Expense</t>
  </si>
  <si>
    <t xml:space="preserve">FY2025</t>
  </si>
  <si>
    <t xml:space="preserve">FY2026</t>
  </si>
  <si>
    <t xml:space="preserve">Amortization Expense</t>
  </si>
  <si>
    <t xml:space="preserve">Accumulated Amortization (cumulative)</t>
  </si>
  <si>
    <t xml:space="preserve">Net Book Value of Customer Relationships</t>
  </si>
  <si>
    <t xml:space="preserve">STEP 4 — THE 2025 IMPAIRMENT (when the thesis didn't play out)</t>
  </si>
  <si>
    <t xml:space="preserve">Total Goodwill + Trademark Impairment Charge (2025, as disclosed)</t>
  </si>
  <si>
    <t xml:space="preserve">   of which: Goodwill Impairment (derived from before/after balances)</t>
  </si>
  <si>
    <t xml:space="preserve">   of which: Trademark Impairment [plug]</t>
  </si>
  <si>
    <t xml:space="preserve">Goodwill, Net of Impairment</t>
  </si>
  <si>
    <t xml:space="preserve">Trademarks, Net of Impairment</t>
  </si>
  <si>
    <t xml:space="preserve">Why it happened: HEYDUDE Brand revenue fell from $908mm (2022) to $824mm (2024), missing the</t>
  </si>
  <si>
    <t xml:space="preserve">growth case underwriting the deal. Under ASC 350, goodwill and indefinite-lived intangibles are</t>
  </si>
  <si>
    <t xml:space="preserve">tested at least annually (or upon a triggering event) by comparing a reporting unit's fair value to</t>
  </si>
  <si>
    <t xml:space="preserve">its carrying value; when carrying value exceeds fair value, the excess is an immediate, non-cash</t>
  </si>
  <si>
    <t xml:space="preserve">P&amp;L charge -- unlike amortization, it is not spread over future periods.</t>
  </si>
  <si>
    <t xml:space="preserve">Sources: Crocs 8-K (Feb 2022 acquisition announcement), 10-Q filings (goodwill/intangible balances),</t>
  </si>
  <si>
    <t xml:space="preserve">press coverage of the 2025 impairment (exact goodwill/trademark split estimated from disclosed</t>
  </si>
  <si>
    <t xml:space="preserve">before/after balances, not separately itemized in the sources reviewed).</t>
  </si>
  <si>
    <t xml:space="preserve">DEBT TRANCHE DETAIL, AS OF DECEMBER 31, 2023 (per 10-Q disclosure)</t>
  </si>
  <si>
    <t xml:space="preserve">Tranche</t>
  </si>
  <si>
    <t xml:space="preserve">Maturity</t>
  </si>
  <si>
    <t xml:space="preserve">Stated Rate</t>
  </si>
  <si>
    <t xml:space="preserve">Face Value ($mm)</t>
  </si>
  <si>
    <t xml:space="preserve">Est. Annual Interest ($mm)</t>
  </si>
  <si>
    <t xml:space="preserve">Senior Notes</t>
  </si>
  <si>
    <t xml:space="preserve">2029</t>
  </si>
  <si>
    <t xml:space="preserve">4.250%</t>
  </si>
  <si>
    <t xml:space="preserve">2031</t>
  </si>
  <si>
    <t xml:space="preserve">4.125%</t>
  </si>
  <si>
    <t xml:space="preserve">Term Loan B</t>
  </si>
  <si>
    <t xml:space="preserve">SOFR + 3.50% (at inception)</t>
  </si>
  <si>
    <t xml:space="preserve">Revolving Credit Facility</t>
  </si>
  <si>
    <t xml:space="preserve">2027</t>
  </si>
  <si>
    <t xml:space="preserve">SOFR + margin (leverage-based grid)</t>
  </si>
  <si>
    <t xml:space="preserve">Total Face Value / Est. Interest</t>
  </si>
  <si>
    <t xml:space="preserve">Note: Term Loan B was originally $2.0B at SOFR+3.50% (Feb 2022) and has been repriced/repaid down</t>
  </si>
  <si>
    <t xml:space="preserve">to $820mm by year-end 2023, then further to $575mm by Sept 2024 -- a real, aggressive deleveraging.</t>
  </si>
  <si>
    <t xml:space="preserve">TOTAL BORROWINGS TREND -- THE DELEVERAGING STORY</t>
  </si>
  <si>
    <t xml:space="preserve">Total Borrowings, Year-End (as reported)</t>
  </si>
  <si>
    <t xml:space="preserve">Debt Paid Down During Year</t>
  </si>
  <si>
    <t xml:space="preserve">LEVERAGE RATIOS (Net Debt / EBITDA -- typical credit-agreement covenant metric)</t>
  </si>
  <si>
    <t xml:space="preserve">EBITDA (EBIT + D&amp;A + Intangible Amort.)</t>
  </si>
  <si>
    <t xml:space="preserve">Net Debt (Total Debt - Cash)</t>
  </si>
  <si>
    <t xml:space="preserve">Net Debt / EBITDA</t>
  </si>
  <si>
    <t xml:space="preserve">Interest Coverage (EBIT / Interest Expense)</t>
  </si>
  <si>
    <t xml:space="preserve">Story: leverage peaked near acquisition close (FY2022) then fell sharply as Crocs directed nearly</t>
  </si>
  <si>
    <t xml:space="preserve">all free cash flow to debt paydown rather than buybacks in 2022-2023 -- a real, deliberate capital</t>
  </si>
  <si>
    <t xml:space="preserve">allocation choice that only shifted back toward repurchases once leverage normalized (2024-2025).</t>
  </si>
  <si>
    <t xml:space="preserve">Sources: Crocs 10-Q debt footnotes (Sept 2024), quarterly earnings releases ('Total borrowings').</t>
  </si>
  <si>
    <t xml:space="preserve">D&amp;A and interest expense are estimates (see 3-Statement Summary note) as the full 10-K cash flow</t>
  </si>
  <si>
    <t xml:space="preserve">statement and income tax footnote were not retrieved in full text for every year.</t>
  </si>
  <si>
    <t xml:space="preserve">THE ACCOUNTING EQUATION, ILLUSTRATED WITH REAL CROCS TRANSACTIONS</t>
  </si>
  <si>
    <t xml:space="preserve">Assets = Liabilities + Stockholders' Equity. Every transaction below keeps this equation in balance.</t>
  </si>
  <si>
    <t xml:space="preserve">Each entry uses double-entry bookkeeping: total debits (Dr) always equal total credits (Cr).</t>
  </si>
  <si>
    <t xml:space="preserve">ENTRY 1 — Recording the HEYDUDE Acquisition (Feb 17, 2022)</t>
  </si>
  <si>
    <t xml:space="preserve">Account</t>
  </si>
  <si>
    <t xml:space="preserve">Debit</t>
  </si>
  <si>
    <t xml:space="preserve">Credit</t>
  </si>
  <si>
    <t xml:space="preserve">Dr. Goodwill</t>
  </si>
  <si>
    <t xml:space="preserve">Dr. Trademarks (indefinite-lived intangible)</t>
  </si>
  <si>
    <t xml:space="preserve">Dr. Customer Relationships (finite-lived intangible)</t>
  </si>
  <si>
    <t xml:space="preserve">Dr. Net Tangible Assets Acquired (plug: WC, PP&amp;E, less liabilities/DTL)</t>
  </si>
  <si>
    <t xml:space="preserve">Cr. Cash</t>
  </si>
  <si>
    <t xml:space="preserve">Cr. Common Stock (par + APIC, shares issued to founder)</t>
  </si>
  <si>
    <t xml:space="preserve">Check: Total Debits = Total Credits?</t>
  </si>
  <si>
    <t xml:space="preserve">This is the exact purchase price allocation from the HEYDUDE Purchase Acctg tab, expressed as</t>
  </si>
  <si>
    <t xml:space="preserve">a journal entry. Notice goodwill and intangibles are DEBITS (increases to assets) -- an acquisition</t>
  </si>
  <si>
    <t xml:space="preserve">adds assets to the balance sheet even when no physical inventory or equipment changed hands.</t>
  </si>
  <si>
    <t xml:space="preserve">ENTRY 2 — Recognizing Revenue on a Wholesale Shipment (ASC 606)</t>
  </si>
  <si>
    <t xml:space="preserve">Dr. Accounts Receivable</t>
  </si>
  <si>
    <t xml:space="preserve">Cr. Revenue</t>
  </si>
  <si>
    <t xml:space="preserve">Dr. Cost of Goods Sold</t>
  </si>
  <si>
    <t xml:space="preserve">Cr. Inventory</t>
  </si>
  <si>
    <t xml:space="preserve">Two entries fire together under the matching principle: revenue is recognized when control of the</t>
  </si>
  <si>
    <t xml:space="preserve">goods transfers to the retailer (ASC 606, Step 5) -- typically on shipment for wholesale, not on</t>
  </si>
  <si>
    <t xml:space="preserve">cash receipt. The COGS/Inventory entry matches the expense to the same period as the revenue it</t>
  </si>
  <si>
    <t xml:space="preserve">helped generate, regardless of when the shoes were actually manufactured.</t>
  </si>
  <si>
    <t xml:space="preserve">(Illustrative $ amounts; FY2024 gross margin of 58.8% implies COGS is ~42% of each revenue dollar.)</t>
  </si>
  <si>
    <t xml:space="preserve">ENTRY 3 — Annual Amortization of the Customer Relationships Intangible</t>
  </si>
  <si>
    <t xml:space="preserve">Dr. Amortization Expense</t>
  </si>
  <si>
    <t xml:space="preserve">Cr. Accumulated Amortization -- Customer Relationships</t>
  </si>
  <si>
    <t xml:space="preserve">Straight-line over the 15-year useful life ($286.9mm / 15 = $19.1mm/yr, per the HEYDUDE Purchase</t>
  </si>
  <si>
    <t xml:space="preserve">Acctg tab). Note that Trademarks get NO entry here -- indefinite-lived intangibles are never</t>
  </si>
  <si>
    <t xml:space="preserve">amortized, only tested for impairment. This is a direct, real consequence of the useful-life</t>
  </si>
  <si>
    <t xml:space="preserve">classification made back in Entry 1.</t>
  </si>
  <si>
    <t xml:space="preserve">ENTRY 4 — The 2025 Goodwill &amp; Trademark Impairment</t>
  </si>
  <si>
    <t xml:space="preserve">Dr. Impairment Loss (income statement, non-cash)</t>
  </si>
  <si>
    <t xml:space="preserve">Cr. Goodwill</t>
  </si>
  <si>
    <t xml:space="preserve">Cr. Trademarks</t>
  </si>
  <si>
    <t xml:space="preserve">The mirror image of Entry 1: assets recorded in 2022 are written down when their carrying value</t>
  </si>
  <si>
    <t xml:space="preserve">exceeds fair value under ASC 350 impairment testing. This entry has NO effect on cash -- it is a</t>
  </si>
  <si>
    <t xml:space="preserve">pure balance-sheet-to-income-statement transfer that reduces both total assets and net income/</t>
  </si>
  <si>
    <t xml:space="preserve">retained earnings by $738mm, keeping the accounting equation in balance.</t>
  </si>
  <si>
    <t xml:space="preserve">Sources: purchase price and impairment figures from the HEYDUDE Purchase Acctg tab of this</t>
  </si>
  <si>
    <t xml:space="preserve">workbook. Revenue/COGS entry uses illustrative amounts to demonstrate mechanics, not a specific</t>
  </si>
  <si>
    <t xml:space="preserve">disclosed transaction.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</si>
</sst>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0.0\x"/>
    <numFmt numFmtId="170" formatCode="0.0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2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Cambria"/>
      <family val="0"/>
      <charset val="1"/>
    </font>
    <font>
      <sz val="10"/>
      <color rgb="FF008000"/>
      <name val="Arial"/>
      <family val="0"/>
      <charset val="1"/>
    </font>
    <font>
      <sz val="9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b val="true"/>
      <i val="true"/>
      <sz val="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555555"/>
      <rgbColor rgb="FF2E539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6" min="3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5" t="s">
        <v>4</v>
      </c>
      <c r="C7" s="5"/>
      <c r="D7" s="5"/>
      <c r="E7" s="5"/>
      <c r="F7" s="5"/>
    </row>
    <row r="8" customFormat="false" ht="15" hidden="false" customHeight="false" outlineLevel="0" collapsed="false">
      <c r="B8" s="5" t="s">
        <v>5</v>
      </c>
      <c r="C8" s="5"/>
      <c r="D8" s="5"/>
      <c r="E8" s="5"/>
      <c r="F8" s="5"/>
    </row>
    <row r="9" customFormat="false" ht="15" hidden="false" customHeight="false" outlineLevel="0" collapsed="false">
      <c r="B9" s="5" t="s">
        <v>6</v>
      </c>
      <c r="C9" s="5"/>
      <c r="D9" s="5"/>
      <c r="E9" s="5"/>
      <c r="F9" s="5"/>
    </row>
    <row r="10" customFormat="false" ht="15" hidden="false" customHeight="false" outlineLevel="0" collapsed="false">
      <c r="B10" s="5" t="s">
        <v>7</v>
      </c>
      <c r="C10" s="5"/>
      <c r="D10" s="5"/>
      <c r="E10" s="5"/>
      <c r="F10" s="5"/>
    </row>
    <row r="11" customFormat="false" ht="15" hidden="false" customHeight="false" outlineLevel="0" collapsed="false">
      <c r="B11" s="5" t="s">
        <v>8</v>
      </c>
      <c r="C11" s="5"/>
      <c r="D11" s="5"/>
      <c r="E11" s="5"/>
      <c r="F11" s="5"/>
    </row>
    <row r="12" customFormat="false" ht="15" hidden="false" customHeight="false" outlineLevel="0" collapsed="false">
      <c r="B12" s="5" t="s">
        <v>9</v>
      </c>
      <c r="C12" s="5"/>
      <c r="D12" s="5"/>
      <c r="E12" s="5"/>
      <c r="F12" s="5"/>
    </row>
    <row r="13" customFormat="false" ht="15" hidden="false" customHeight="false" outlineLevel="0" collapsed="false">
      <c r="B13" s="5" t="s">
        <v>10</v>
      </c>
      <c r="C13" s="5"/>
      <c r="D13" s="5"/>
      <c r="E13" s="5"/>
      <c r="F13" s="5"/>
    </row>
    <row r="14" customFormat="false" ht="15" hidden="false" customHeight="false" outlineLevel="0" collapsed="false">
      <c r="B14" s="5" t="s">
        <v>11</v>
      </c>
      <c r="C14" s="5"/>
      <c r="D14" s="5"/>
      <c r="E14" s="5"/>
      <c r="F14" s="5"/>
    </row>
    <row r="16" customFormat="false" ht="15" hidden="false" customHeight="false" outlineLevel="0" collapsed="false">
      <c r="B16" s="4" t="s">
        <v>12</v>
      </c>
      <c r="C16" s="4"/>
      <c r="D16" s="4"/>
      <c r="E16" s="4"/>
      <c r="F16" s="4"/>
    </row>
    <row r="17" customFormat="false" ht="15" hidden="false" customHeight="false" outlineLevel="0" collapsed="false">
      <c r="B17" s="6" t="s">
        <v>13</v>
      </c>
      <c r="C17" s="7" t="s">
        <v>14</v>
      </c>
      <c r="D17" s="7"/>
      <c r="E17" s="7"/>
      <c r="F17" s="7"/>
    </row>
    <row r="18" customFormat="false" ht="15" hidden="false" customHeight="false" outlineLevel="0" collapsed="false">
      <c r="B18" s="6" t="s">
        <v>15</v>
      </c>
      <c r="C18" s="7" t="s">
        <v>16</v>
      </c>
      <c r="D18" s="7"/>
      <c r="E18" s="7"/>
      <c r="F18" s="7"/>
    </row>
    <row r="19" customFormat="false" ht="15" hidden="false" customHeight="false" outlineLevel="0" collapsed="false">
      <c r="B19" s="6" t="s">
        <v>17</v>
      </c>
      <c r="C19" s="7" t="s">
        <v>18</v>
      </c>
      <c r="D19" s="7"/>
      <c r="E19" s="7"/>
      <c r="F19" s="7"/>
    </row>
    <row r="20" customFormat="false" ht="15" hidden="false" customHeight="false" outlineLevel="0" collapsed="false">
      <c r="B20" s="6" t="s">
        <v>19</v>
      </c>
      <c r="C20" s="7" t="s">
        <v>20</v>
      </c>
      <c r="D20" s="7"/>
      <c r="E20" s="7"/>
      <c r="F20" s="7"/>
    </row>
    <row r="21" customFormat="false" ht="15" hidden="false" customHeight="false" outlineLevel="0" collapsed="false">
      <c r="B21" s="6" t="s">
        <v>21</v>
      </c>
      <c r="C21" s="7" t="s">
        <v>22</v>
      </c>
      <c r="D21" s="7"/>
      <c r="E21" s="7"/>
      <c r="F21" s="7"/>
    </row>
    <row r="23" customFormat="false" ht="15" hidden="false" customHeight="false" outlineLevel="0" collapsed="false">
      <c r="B23" s="4" t="s">
        <v>23</v>
      </c>
      <c r="C23" s="4"/>
      <c r="D23" s="4"/>
      <c r="E23" s="4"/>
      <c r="F23" s="4"/>
    </row>
    <row r="24" customFormat="false" ht="15" hidden="false" customHeight="false" outlineLevel="0" collapsed="false">
      <c r="B24" s="8" t="s">
        <v>24</v>
      </c>
      <c r="C24" s="9" t="s">
        <v>25</v>
      </c>
    </row>
    <row r="25" customFormat="false" ht="15" hidden="false" customHeight="false" outlineLevel="0" collapsed="false">
      <c r="B25" s="8" t="s">
        <v>26</v>
      </c>
      <c r="C25" s="10" t="n">
        <v>4102</v>
      </c>
    </row>
    <row r="26" customFormat="false" ht="15" hidden="false" customHeight="false" outlineLevel="0" collapsed="false">
      <c r="B26" s="8" t="s">
        <v>27</v>
      </c>
      <c r="C26" s="9" t="s">
        <v>28</v>
      </c>
    </row>
    <row r="27" customFormat="false" ht="15" hidden="false" customHeight="false" outlineLevel="0" collapsed="false">
      <c r="B27" s="8" t="s">
        <v>29</v>
      </c>
      <c r="C27" s="10" t="n">
        <v>2506.4</v>
      </c>
    </row>
    <row r="28" customFormat="false" ht="15" hidden="false" customHeight="false" outlineLevel="0" collapsed="false">
      <c r="B28" s="8" t="s">
        <v>30</v>
      </c>
      <c r="C28" s="10" t="n">
        <v>738</v>
      </c>
    </row>
    <row r="30" customFormat="false" ht="15" hidden="false" customHeight="false" outlineLevel="0" collapsed="false">
      <c r="B30" s="11" t="s">
        <v>31</v>
      </c>
    </row>
    <row r="31" customFormat="false" ht="15" hidden="false" customHeight="false" outlineLevel="0" collapsed="false">
      <c r="B31" s="11" t="s">
        <v>32</v>
      </c>
    </row>
    <row r="32" customFormat="false" ht="15" hidden="false" customHeight="false" outlineLevel="0" collapsed="false">
      <c r="B32" s="11" t="s">
        <v>33</v>
      </c>
    </row>
  </sheetData>
  <mergeCells count="13">
    <mergeCell ref="B7:F7"/>
    <mergeCell ref="B8:F8"/>
    <mergeCell ref="B9:F9"/>
    <mergeCell ref="B10:F10"/>
    <mergeCell ref="B11:F11"/>
    <mergeCell ref="B12:F12"/>
    <mergeCell ref="B13:F13"/>
    <mergeCell ref="B14:F14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6" min="3" style="0" width="13"/>
    <col collapsed="false" customWidth="true" hidden="false" outlineLevel="0" max="7" min="7" style="0" width="4"/>
    <col collapsed="false" customWidth="true" hidden="false" outlineLevel="0" max="8" min="8" style="0" width="46"/>
  </cols>
  <sheetData>
    <row r="2" customFormat="false" ht="15" hidden="false" customHeight="false" outlineLevel="0" collapsed="false">
      <c r="B2" s="12" t="s">
        <v>34</v>
      </c>
      <c r="C2" s="12"/>
      <c r="D2" s="12"/>
      <c r="E2" s="12"/>
      <c r="F2" s="12"/>
    </row>
    <row r="3" customFormat="false" ht="15" hidden="false" customHeight="false" outlineLevel="0" collapsed="false">
      <c r="C3" s="13" t="s">
        <v>35</v>
      </c>
      <c r="D3" s="13" t="s">
        <v>36</v>
      </c>
      <c r="E3" s="13" t="s">
        <v>37</v>
      </c>
      <c r="F3" s="13" t="s">
        <v>38</v>
      </c>
    </row>
    <row r="4" customFormat="false" ht="15" hidden="false" customHeight="false" outlineLevel="0" collapsed="false">
      <c r="B4" s="14" t="s">
        <v>39</v>
      </c>
      <c r="C4" s="15" t="n">
        <v>2313.4</v>
      </c>
      <c r="D4" s="15" t="n">
        <v>3556</v>
      </c>
      <c r="E4" s="15" t="n">
        <v>3957.3</v>
      </c>
      <c r="F4" s="15" t="n">
        <v>4102</v>
      </c>
    </row>
    <row r="5" customFormat="false" ht="15" hidden="false" customHeight="false" outlineLevel="0" collapsed="false">
      <c r="B5" s="14" t="s">
        <v>40</v>
      </c>
      <c r="C5" s="16" t="n">
        <v>0.614</v>
      </c>
      <c r="D5" s="16" t="n">
        <v>0.523</v>
      </c>
      <c r="E5" s="16" t="n">
        <v>0.558</v>
      </c>
      <c r="F5" s="16" t="n">
        <v>0.588</v>
      </c>
    </row>
    <row r="6" customFormat="false" ht="15" hidden="false" customHeight="false" outlineLevel="0" collapsed="false">
      <c r="B6" s="17" t="s">
        <v>41</v>
      </c>
      <c r="C6" s="18" t="n">
        <f aca="false">C4*C5</f>
        <v>1420.4276</v>
      </c>
      <c r="D6" s="18" t="n">
        <f aca="false">D4*D5</f>
        <v>1859.788</v>
      </c>
      <c r="E6" s="18" t="n">
        <f aca="false">E4*E5</f>
        <v>2208.1734</v>
      </c>
      <c r="F6" s="18" t="n">
        <f aca="false">F4*F5</f>
        <v>2411.976</v>
      </c>
    </row>
    <row r="7" customFormat="false" ht="15" hidden="false" customHeight="false" outlineLevel="0" collapsed="false">
      <c r="B7" s="14" t="s">
        <v>42</v>
      </c>
      <c r="C7" s="16" t="n">
        <v>0.295</v>
      </c>
      <c r="D7" s="16" t="n">
        <v>0.239</v>
      </c>
      <c r="E7" s="16" t="n">
        <v>0.262</v>
      </c>
      <c r="F7" s="16" t="n">
        <v>0.249</v>
      </c>
    </row>
    <row r="8" customFormat="false" ht="15" hidden="false" customHeight="false" outlineLevel="0" collapsed="false">
      <c r="B8" s="17" t="s">
        <v>43</v>
      </c>
      <c r="C8" s="18" t="n">
        <f aca="false">C4*C7</f>
        <v>682.453</v>
      </c>
      <c r="D8" s="18" t="n">
        <f aca="false">D4*D7</f>
        <v>849.884</v>
      </c>
      <c r="E8" s="18" t="n">
        <f aca="false">E4*E7</f>
        <v>1036.8126</v>
      </c>
      <c r="F8" s="18" t="n">
        <f aca="false">F4*F7</f>
        <v>1021.398</v>
      </c>
    </row>
    <row r="9" customFormat="false" ht="15" hidden="false" customHeight="false" outlineLevel="0" collapsed="false">
      <c r="B9" s="19" t="s">
        <v>44</v>
      </c>
      <c r="C9" s="20" t="n">
        <f aca="false">C6-C8</f>
        <v>737.9746</v>
      </c>
      <c r="D9" s="20" t="n">
        <f aca="false">D6-D8</f>
        <v>1009.904</v>
      </c>
      <c r="E9" s="20" t="n">
        <f aca="false">E6-E8</f>
        <v>1171.3608</v>
      </c>
      <c r="F9" s="20" t="n">
        <f aca="false">F6-F8</f>
        <v>1390.578</v>
      </c>
    </row>
    <row r="11" customFormat="false" ht="15" hidden="false" customHeight="false" outlineLevel="0" collapsed="false">
      <c r="B11" s="14" t="s">
        <v>45</v>
      </c>
      <c r="C11" s="15" t="n">
        <v>15</v>
      </c>
      <c r="D11" s="15" t="n">
        <v>95</v>
      </c>
      <c r="E11" s="15" t="n">
        <v>112</v>
      </c>
      <c r="F11" s="15" t="n">
        <v>90</v>
      </c>
    </row>
    <row r="12" customFormat="false" ht="15" hidden="false" customHeight="false" outlineLevel="0" collapsed="false">
      <c r="B12" s="17" t="s">
        <v>46</v>
      </c>
      <c r="C12" s="18" t="n">
        <f aca="false">C8-C11</f>
        <v>667.453</v>
      </c>
      <c r="D12" s="18" t="n">
        <f aca="false">D8-D11</f>
        <v>754.884</v>
      </c>
      <c r="E12" s="18" t="n">
        <f aca="false">E8-E11</f>
        <v>924.8126</v>
      </c>
      <c r="F12" s="18" t="n">
        <f aca="false">F8-F11</f>
        <v>931.398</v>
      </c>
    </row>
    <row r="13" customFormat="false" ht="15" hidden="false" customHeight="false" outlineLevel="0" collapsed="false">
      <c r="B13" s="21" t="s">
        <v>47</v>
      </c>
      <c r="C13" s="22" t="n">
        <v>725.7</v>
      </c>
      <c r="D13" s="22" t="n">
        <v>538</v>
      </c>
      <c r="E13" s="22" t="n">
        <v>792.4</v>
      </c>
      <c r="F13" s="22" t="n">
        <v>950.1</v>
      </c>
    </row>
    <row r="14" customFormat="false" ht="15" hidden="false" customHeight="false" outlineLevel="0" collapsed="false">
      <c r="B14" s="19" t="s">
        <v>48</v>
      </c>
      <c r="C14" s="20" t="n">
        <f aca="false">C12-C13</f>
        <v>-58.2470000000001</v>
      </c>
      <c r="D14" s="20" t="n">
        <f aca="false">D12-D13</f>
        <v>216.884</v>
      </c>
      <c r="E14" s="20" t="n">
        <f aca="false">E12-E13</f>
        <v>132.4126</v>
      </c>
      <c r="F14" s="20" t="n">
        <f aca="false">F12-F13</f>
        <v>-18.702</v>
      </c>
    </row>
    <row r="15" customFormat="false" ht="15" hidden="false" customHeight="false" outlineLevel="0" collapsed="false">
      <c r="B15" s="19" t="s">
        <v>49</v>
      </c>
      <c r="C15" s="23" t="n">
        <f aca="false">C14/C12</f>
        <v>-0.0872675679036578</v>
      </c>
      <c r="D15" s="23" t="n">
        <f aca="false">D14/D12</f>
        <v>0.287307718801829</v>
      </c>
      <c r="E15" s="23" t="n">
        <f aca="false">E14/E12</f>
        <v>0.143177763797769</v>
      </c>
      <c r="F15" s="23" t="n">
        <f aca="false">F14/F12</f>
        <v>-0.0200794934066854</v>
      </c>
    </row>
    <row r="16" customFormat="false" ht="15" hidden="false" customHeight="false" outlineLevel="0" collapsed="false">
      <c r="B16" s="19" t="s">
        <v>50</v>
      </c>
      <c r="C16" s="23" t="n">
        <f aca="false">C13/C4</f>
        <v>0.313694129852166</v>
      </c>
      <c r="D16" s="23" t="n">
        <f aca="false">D13/D4</f>
        <v>0.151293588301462</v>
      </c>
      <c r="E16" s="23" t="n">
        <f aca="false">E13/E4</f>
        <v>0.200237535693528</v>
      </c>
      <c r="F16" s="23" t="n">
        <f aca="false">F13/F4</f>
        <v>0.231618722574354</v>
      </c>
    </row>
    <row r="18" customFormat="false" ht="15" hidden="false" customHeight="false" outlineLevel="0" collapsed="false">
      <c r="B18" s="14" t="s">
        <v>51</v>
      </c>
      <c r="C18" s="24" t="n">
        <v>63.71</v>
      </c>
      <c r="D18" s="24" t="n">
        <v>61.75</v>
      </c>
      <c r="E18" s="24" t="n">
        <v>62.6</v>
      </c>
      <c r="F18" s="24" t="n">
        <v>59.86</v>
      </c>
    </row>
    <row r="19" customFormat="false" ht="15" hidden="false" customHeight="false" outlineLevel="0" collapsed="false">
      <c r="B19" s="17" t="s">
        <v>52</v>
      </c>
      <c r="C19" s="25" t="n">
        <f aca="false">C13/C18</f>
        <v>11.3906765029038</v>
      </c>
      <c r="D19" s="25" t="n">
        <f aca="false">D13/D18</f>
        <v>8.71255060728745</v>
      </c>
      <c r="E19" s="25" t="n">
        <f aca="false">E13/E18</f>
        <v>12.6581469648562</v>
      </c>
      <c r="F19" s="25" t="n">
        <f aca="false">F13/F18</f>
        <v>15.8720347477447</v>
      </c>
    </row>
    <row r="21" customFormat="false" ht="15" hidden="false" customHeight="false" outlineLevel="0" collapsed="false">
      <c r="B21" s="12" t="s">
        <v>53</v>
      </c>
      <c r="C21" s="12"/>
      <c r="D21" s="12"/>
      <c r="E21" s="12"/>
      <c r="F21" s="12"/>
    </row>
    <row r="22" customFormat="false" ht="15" hidden="false" customHeight="false" outlineLevel="0" collapsed="false">
      <c r="C22" s="13" t="s">
        <v>35</v>
      </c>
      <c r="D22" s="13" t="s">
        <v>36</v>
      </c>
      <c r="E22" s="13" t="s">
        <v>37</v>
      </c>
      <c r="F22" s="13" t="s">
        <v>38</v>
      </c>
    </row>
    <row r="23" customFormat="false" ht="15" hidden="false" customHeight="false" outlineLevel="0" collapsed="false">
      <c r="B23" s="14" t="s">
        <v>54</v>
      </c>
      <c r="C23" s="15" t="n">
        <v>213.2</v>
      </c>
      <c r="D23" s="15" t="n">
        <v>191.6</v>
      </c>
      <c r="E23" s="15" t="n">
        <v>149</v>
      </c>
      <c r="F23" s="15" t="n">
        <v>180</v>
      </c>
    </row>
    <row r="24" customFormat="false" ht="15" hidden="false" customHeight="false" outlineLevel="0" collapsed="false">
      <c r="B24" s="14" t="s">
        <v>55</v>
      </c>
      <c r="C24" s="15" t="n">
        <v>254.2</v>
      </c>
      <c r="D24" s="15" t="n">
        <v>344</v>
      </c>
      <c r="E24" s="15" t="n">
        <v>385</v>
      </c>
      <c r="F24" s="15" t="n">
        <v>356</v>
      </c>
    </row>
    <row r="25" customFormat="false" ht="15" hidden="false" customHeight="false" outlineLevel="0" collapsed="false">
      <c r="B25" s="14" t="s">
        <v>56</v>
      </c>
      <c r="C25" s="15" t="n">
        <v>1.6</v>
      </c>
      <c r="D25" s="15" t="n">
        <v>712.7</v>
      </c>
      <c r="E25" s="15" t="n">
        <v>706</v>
      </c>
      <c r="F25" s="15" t="n">
        <v>712.7</v>
      </c>
    </row>
    <row r="26" customFormat="false" ht="15" hidden="false" customHeight="false" outlineLevel="0" collapsed="false">
      <c r="B26" s="14" t="s">
        <v>57</v>
      </c>
      <c r="C26" s="15" t="n">
        <v>28.8</v>
      </c>
      <c r="D26" s="15" t="n">
        <v>1830</v>
      </c>
      <c r="E26" s="15" t="n">
        <v>1810</v>
      </c>
      <c r="F26" s="15" t="n">
        <v>1791</v>
      </c>
    </row>
    <row r="27" customFormat="false" ht="15" hidden="false" customHeight="false" outlineLevel="0" collapsed="false">
      <c r="B27" s="14" t="s">
        <v>58</v>
      </c>
      <c r="C27" s="15" t="n">
        <v>1545.1</v>
      </c>
      <c r="D27" s="15" t="n">
        <v>4643.8</v>
      </c>
      <c r="E27" s="15" t="n">
        <v>4812.2</v>
      </c>
      <c r="F27" s="15" t="n">
        <v>4750</v>
      </c>
    </row>
    <row r="28" customFormat="false" ht="15" hidden="false" customHeight="false" outlineLevel="0" collapsed="false">
      <c r="B28" s="14" t="s">
        <v>59</v>
      </c>
      <c r="C28" s="15" t="n">
        <v>963.6</v>
      </c>
      <c r="D28" s="15" t="n">
        <v>2595</v>
      </c>
      <c r="E28" s="15" t="n">
        <v>1996.4</v>
      </c>
      <c r="F28" s="15" t="n">
        <v>1650</v>
      </c>
    </row>
    <row r="29" customFormat="false" ht="15" hidden="false" customHeight="false" outlineLevel="0" collapsed="false">
      <c r="B29" s="14" t="s">
        <v>60</v>
      </c>
      <c r="C29" s="15" t="n">
        <v>817.9</v>
      </c>
      <c r="D29" s="15" t="n">
        <v>1453.9</v>
      </c>
      <c r="E29" s="15" t="n">
        <v>1835.7</v>
      </c>
      <c r="F29" s="15" t="n">
        <v>2350</v>
      </c>
    </row>
    <row r="31" customFormat="false" ht="15" hidden="false" customHeight="false" outlineLevel="0" collapsed="false">
      <c r="B31" s="11" t="s">
        <v>61</v>
      </c>
    </row>
    <row r="32" customFormat="false" ht="15" hidden="false" customHeight="false" outlineLevel="0" collapsed="false">
      <c r="B32" s="11" t="s">
        <v>62</v>
      </c>
    </row>
    <row r="33" customFormat="false" ht="15" hidden="false" customHeight="false" outlineLevel="0" collapsed="false">
      <c r="B33" s="11" t="s">
        <v>63</v>
      </c>
    </row>
    <row r="34" customFormat="false" ht="15" hidden="false" customHeight="false" outlineLevel="0" collapsed="false">
      <c r="B34" s="11" t="s">
        <v>64</v>
      </c>
    </row>
    <row r="35" customFormat="false" ht="15" hidden="false" customHeight="false" outlineLevel="0" collapsed="false">
      <c r="B35" s="11" t="s">
        <v>65</v>
      </c>
    </row>
    <row r="36" customFormat="false" ht="15" hidden="false" customHeight="false" outlineLevel="0" collapsed="false">
      <c r="B36" s="11" t="s">
        <v>66</v>
      </c>
    </row>
  </sheetData>
  <mergeCells count="2">
    <mergeCell ref="B2:F2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3"/>
    <col collapsed="false" customWidth="true" hidden="false" outlineLevel="0" max="7" min="7" style="0" width="4"/>
    <col collapsed="false" customWidth="true" hidden="false" outlineLevel="0" max="8" min="8" style="0" width="46"/>
  </cols>
  <sheetData>
    <row r="2" customFormat="false" ht="15" hidden="false" customHeight="false" outlineLevel="0" collapsed="false">
      <c r="B2" s="12" t="s">
        <v>67</v>
      </c>
      <c r="C2" s="12"/>
      <c r="D2" s="12"/>
      <c r="E2" s="12"/>
      <c r="F2" s="12"/>
    </row>
    <row r="3" customFormat="false" ht="15" hidden="false" customHeight="false" outlineLevel="0" collapsed="false">
      <c r="C3" s="13" t="s">
        <v>35</v>
      </c>
      <c r="D3" s="13" t="s">
        <v>36</v>
      </c>
      <c r="E3" s="13" t="s">
        <v>37</v>
      </c>
      <c r="F3" s="13" t="s">
        <v>38</v>
      </c>
    </row>
    <row r="4" customFormat="false" ht="15" hidden="false" customHeight="false" outlineLevel="0" collapsed="false">
      <c r="B4" s="4" t="s">
        <v>68</v>
      </c>
      <c r="C4" s="4"/>
      <c r="D4" s="4"/>
      <c r="E4" s="4"/>
      <c r="F4" s="4"/>
    </row>
    <row r="5" customFormat="false" ht="15" hidden="false" customHeight="false" outlineLevel="0" collapsed="false">
      <c r="B5" s="26" t="s">
        <v>69</v>
      </c>
      <c r="C5" s="27" t="n">
        <f aca="false">'3-Statement Summary'!C5</f>
        <v>0.614</v>
      </c>
      <c r="D5" s="27" t="n">
        <f aca="false">'3-Statement Summary'!D5</f>
        <v>0.523</v>
      </c>
      <c r="E5" s="27" t="n">
        <f aca="false">'3-Statement Summary'!E5</f>
        <v>0.558</v>
      </c>
      <c r="F5" s="27" t="n">
        <f aca="false">'3-Statement Summary'!F5</f>
        <v>0.588</v>
      </c>
    </row>
    <row r="6" customFormat="false" ht="15" hidden="false" customHeight="false" outlineLevel="0" collapsed="false">
      <c r="B6" s="8" t="s">
        <v>70</v>
      </c>
      <c r="C6" s="27" t="n">
        <f aca="false">'3-Statement Summary'!C8/'3-Statement Summary'!C4</f>
        <v>0.295</v>
      </c>
      <c r="D6" s="27" t="n">
        <f aca="false">'3-Statement Summary'!D8/'3-Statement Summary'!D4</f>
        <v>0.239</v>
      </c>
      <c r="E6" s="27" t="n">
        <f aca="false">'3-Statement Summary'!E8/'3-Statement Summary'!E4</f>
        <v>0.262</v>
      </c>
      <c r="F6" s="27" t="n">
        <f aca="false">'3-Statement Summary'!F8/'3-Statement Summary'!F4</f>
        <v>0.249</v>
      </c>
    </row>
    <row r="7" customFormat="false" ht="15" hidden="false" customHeight="false" outlineLevel="0" collapsed="false">
      <c r="B7" s="8" t="s">
        <v>71</v>
      </c>
      <c r="C7" s="27" t="n">
        <f aca="false">'3-Statement Summary'!C13/'3-Statement Summary'!C4</f>
        <v>0.313694129852166</v>
      </c>
      <c r="D7" s="27" t="n">
        <f aca="false">'3-Statement Summary'!D13/'3-Statement Summary'!D4</f>
        <v>0.151293588301462</v>
      </c>
      <c r="E7" s="27" t="n">
        <f aca="false">'3-Statement Summary'!E13/'3-Statement Summary'!E4</f>
        <v>0.200237535693528</v>
      </c>
      <c r="F7" s="27" t="n">
        <f aca="false">'3-Statement Summary'!F13/'3-Statement Summary'!F4</f>
        <v>0.231618722574354</v>
      </c>
    </row>
    <row r="8" customFormat="false" ht="15" hidden="false" customHeight="false" outlineLevel="0" collapsed="false">
      <c r="B8" s="8" t="s">
        <v>72</v>
      </c>
      <c r="C8" s="27" t="n">
        <f aca="false">'3-Statement Summary'!C13/'3-Statement Summary'!C27</f>
        <v>0.469678337971652</v>
      </c>
      <c r="D8" s="27" t="n">
        <f aca="false">'3-Statement Summary'!D13/'3-Statement Summary'!D27</f>
        <v>0.11585339592575</v>
      </c>
      <c r="E8" s="27" t="n">
        <f aca="false">'3-Statement Summary'!E13/'3-Statement Summary'!E27</f>
        <v>0.164664810273887</v>
      </c>
      <c r="F8" s="27" t="n">
        <f aca="false">'3-Statement Summary'!F13/'3-Statement Summary'!F27</f>
        <v>0.200021052631579</v>
      </c>
    </row>
    <row r="9" customFormat="false" ht="15" hidden="false" customHeight="false" outlineLevel="0" collapsed="false">
      <c r="B9" s="17" t="s">
        <v>73</v>
      </c>
      <c r="C9" s="28" t="n">
        <f aca="false">'3-Statement Summary'!C13/'3-Statement Summary'!C29</f>
        <v>0.887272282675144</v>
      </c>
      <c r="D9" s="28" t="n">
        <f aca="false">'3-Statement Summary'!D13/'3-Statement Summary'!D29</f>
        <v>0.370039204897173</v>
      </c>
      <c r="E9" s="28" t="n">
        <f aca="false">'3-Statement Summary'!E13/'3-Statement Summary'!E29</f>
        <v>0.431660946777796</v>
      </c>
      <c r="F9" s="28" t="n">
        <f aca="false">'3-Statement Summary'!F13/'3-Statement Summary'!F29</f>
        <v>0.404297872340426</v>
      </c>
    </row>
    <row r="11" customFormat="false" ht="15" hidden="false" customHeight="false" outlineLevel="0" collapsed="false">
      <c r="B11" s="4" t="s">
        <v>74</v>
      </c>
      <c r="C11" s="4"/>
      <c r="D11" s="4"/>
      <c r="E11" s="4"/>
      <c r="F11" s="4"/>
    </row>
    <row r="12" customFormat="false" ht="15" hidden="false" customHeight="false" outlineLevel="0" collapsed="false">
      <c r="B12" s="8" t="s">
        <v>75</v>
      </c>
      <c r="C12" s="29" t="n">
        <f aca="false">('3-Statement Summary'!C23+'3-Statement Summary'!C24)/('3-Statement Summary'!C28*0.15)</f>
        <v>3.23370693233707</v>
      </c>
      <c r="D12" s="29" t="n">
        <f aca="false">('3-Statement Summary'!D23+'3-Statement Summary'!D24)/('3-Statement Summary'!D28*0.15)</f>
        <v>1.37597944765575</v>
      </c>
      <c r="E12" s="29" t="n">
        <f aca="false">('3-Statement Summary'!E23+'3-Statement Summary'!E24)/('3-Statement Summary'!E28*0.15)</f>
        <v>1.78320977759968</v>
      </c>
      <c r="F12" s="29" t="n">
        <f aca="false">('3-Statement Summary'!F23+'3-Statement Summary'!F24)/('3-Statement Summary'!F28*0.15)</f>
        <v>2.16565656565657</v>
      </c>
    </row>
    <row r="13" customFormat="false" ht="15" hidden="false" customHeight="false" outlineLevel="0" collapsed="false">
      <c r="B13" s="8" t="s">
        <v>76</v>
      </c>
      <c r="C13" s="29" t="n">
        <f aca="false">'3-Statement Summary'!C4/'3-Statement Summary'!C27</f>
        <v>1.49724936897288</v>
      </c>
      <c r="D13" s="29" t="n">
        <f aca="false">'3-Statement Summary'!D4/'3-Statement Summary'!D27</f>
        <v>0.765752185709979</v>
      </c>
      <c r="E13" s="29" t="n">
        <f aca="false">'3-Statement Summary'!E4/'3-Statement Summary'!E27</f>
        <v>0.822347367108599</v>
      </c>
      <c r="F13" s="29" t="n">
        <f aca="false">'3-Statement Summary'!F4/'3-Statement Summary'!F27</f>
        <v>0.863578947368421</v>
      </c>
    </row>
    <row r="14" customFormat="false" ht="15" hidden="false" customHeight="false" outlineLevel="0" collapsed="false">
      <c r="B14" s="8" t="s">
        <v>77</v>
      </c>
      <c r="C14" s="27" t="n">
        <f aca="false">'3-Statement Summary'!C24/'3-Statement Summary'!C27</f>
        <v>0.16452009578668</v>
      </c>
      <c r="D14" s="27" t="n">
        <f aca="false">'3-Statement Summary'!D24/'3-Statement Summary'!D27</f>
        <v>0.0740772643094018</v>
      </c>
      <c r="E14" s="27" t="n">
        <f aca="false">'3-Statement Summary'!E24/'3-Statement Summary'!E27</f>
        <v>0.0800049873238851</v>
      </c>
      <c r="F14" s="27" t="n">
        <f aca="false">'3-Statement Summary'!F24/'3-Statement Summary'!F27</f>
        <v>0.0749473684210526</v>
      </c>
    </row>
    <row r="15" customFormat="false" ht="15" hidden="false" customHeight="false" outlineLevel="0" collapsed="false">
      <c r="B15" s="17" t="s">
        <v>78</v>
      </c>
      <c r="C15" s="28" t="n">
        <f aca="false">('3-Statement Summary'!C25+'3-Statement Summary'!C26)/'3-Statement Summary'!C27</f>
        <v>0.0196751019351498</v>
      </c>
      <c r="D15" s="28" t="n">
        <f aca="false">('3-Statement Summary'!D25+'3-Statement Summary'!D26)/'3-Statement Summary'!D27</f>
        <v>0.547547267324174</v>
      </c>
      <c r="E15" s="28" t="n">
        <f aca="false">('3-Statement Summary'!E25+'3-Statement Summary'!E26)/'3-Statement Summary'!E27</f>
        <v>0.522837787290636</v>
      </c>
      <c r="F15" s="28" t="n">
        <f aca="false">('3-Statement Summary'!F25+'3-Statement Summary'!F26)/'3-Statement Summary'!F27</f>
        <v>0.527094736842105</v>
      </c>
    </row>
    <row r="17" customFormat="false" ht="15" hidden="false" customHeight="false" outlineLevel="0" collapsed="false">
      <c r="B17" s="4" t="s">
        <v>79</v>
      </c>
      <c r="C17" s="4"/>
      <c r="D17" s="4"/>
      <c r="E17" s="4"/>
      <c r="F17" s="4"/>
    </row>
    <row r="18" customFormat="false" ht="15" hidden="false" customHeight="false" outlineLevel="0" collapsed="false">
      <c r="B18" s="8" t="s">
        <v>80</v>
      </c>
      <c r="C18" s="29" t="n">
        <f aca="false">'3-Statement Summary'!C28/'3-Statement Summary'!C29</f>
        <v>1.17813913681379</v>
      </c>
      <c r="D18" s="29" t="n">
        <f aca="false">'3-Statement Summary'!D28/'3-Statement Summary'!D29</f>
        <v>1.78485452919733</v>
      </c>
      <c r="E18" s="29" t="n">
        <f aca="false">'3-Statement Summary'!E28/'3-Statement Summary'!E29</f>
        <v>1.08754153728823</v>
      </c>
      <c r="F18" s="29" t="n">
        <f aca="false">'3-Statement Summary'!F28/'3-Statement Summary'!F29</f>
        <v>0.702127659574468</v>
      </c>
    </row>
    <row r="19" customFormat="false" ht="15" hidden="false" customHeight="false" outlineLevel="0" collapsed="false">
      <c r="B19" s="8" t="s">
        <v>81</v>
      </c>
      <c r="C19" s="29" t="n">
        <f aca="false">'3-Statement Summary'!C27/'3-Statement Summary'!C29</f>
        <v>1.88910624770754</v>
      </c>
      <c r="D19" s="29" t="n">
        <f aca="false">'3-Statement Summary'!D27/'3-Statement Summary'!D29</f>
        <v>3.19402985074627</v>
      </c>
      <c r="E19" s="29" t="n">
        <f aca="false">'3-Statement Summary'!E27/'3-Statement Summary'!E29</f>
        <v>2.62145230702184</v>
      </c>
      <c r="F19" s="29" t="n">
        <f aca="false">'3-Statement Summary'!F27/'3-Statement Summary'!F29</f>
        <v>2.02127659574468</v>
      </c>
    </row>
    <row r="21" customFormat="false" ht="15" hidden="false" customHeight="false" outlineLevel="0" collapsed="false">
      <c r="B21" s="4" t="s">
        <v>82</v>
      </c>
      <c r="C21" s="4"/>
      <c r="D21" s="4"/>
      <c r="E21" s="4"/>
      <c r="F21" s="4"/>
    </row>
    <row r="22" customFormat="false" ht="15" hidden="false" customHeight="false" outlineLevel="0" collapsed="false">
      <c r="B22" s="19" t="s">
        <v>83</v>
      </c>
    </row>
    <row r="24" customFormat="false" ht="15" hidden="false" customHeight="false" outlineLevel="0" collapsed="false">
      <c r="B24" s="30" t="s">
        <v>35</v>
      </c>
      <c r="C24" s="27" t="n">
        <f aca="false">C7</f>
        <v>0.313694129852166</v>
      </c>
      <c r="D24" s="31" t="s">
        <v>84</v>
      </c>
      <c r="E24" s="29" t="n">
        <f aca="false">C13</f>
        <v>1.49724936897288</v>
      </c>
      <c r="F24" s="31" t="s">
        <v>84</v>
      </c>
      <c r="G24" s="29" t="n">
        <f aca="false">C19</f>
        <v>1.88910624770754</v>
      </c>
      <c r="H24" s="31" t="s">
        <v>85</v>
      </c>
      <c r="I24" s="32" t="n">
        <f aca="false">C24*E24*G24</f>
        <v>0.887272282675144</v>
      </c>
    </row>
    <row r="25" customFormat="false" ht="15" hidden="false" customHeight="false" outlineLevel="0" collapsed="false">
      <c r="B25" s="30" t="s">
        <v>36</v>
      </c>
      <c r="C25" s="27" t="n">
        <f aca="false">D7</f>
        <v>0.151293588301462</v>
      </c>
      <c r="D25" s="31" t="s">
        <v>84</v>
      </c>
      <c r="E25" s="29" t="n">
        <f aca="false">D13</f>
        <v>0.765752185709979</v>
      </c>
      <c r="F25" s="31" t="s">
        <v>84</v>
      </c>
      <c r="G25" s="29" t="n">
        <f aca="false">D19</f>
        <v>3.19402985074627</v>
      </c>
      <c r="H25" s="31" t="s">
        <v>85</v>
      </c>
      <c r="I25" s="32" t="n">
        <f aca="false">C25*E25*G25</f>
        <v>0.370039204897173</v>
      </c>
    </row>
    <row r="26" customFormat="false" ht="15" hidden="false" customHeight="false" outlineLevel="0" collapsed="false">
      <c r="B26" s="30" t="s">
        <v>37</v>
      </c>
      <c r="C26" s="27" t="n">
        <f aca="false">E7</f>
        <v>0.200237535693528</v>
      </c>
      <c r="D26" s="31" t="s">
        <v>84</v>
      </c>
      <c r="E26" s="29" t="n">
        <f aca="false">E13</f>
        <v>0.822347367108599</v>
      </c>
      <c r="F26" s="31" t="s">
        <v>84</v>
      </c>
      <c r="G26" s="29" t="n">
        <f aca="false">E19</f>
        <v>2.62145230702184</v>
      </c>
      <c r="H26" s="31" t="s">
        <v>85</v>
      </c>
      <c r="I26" s="32" t="n">
        <f aca="false">C26*E26*G26</f>
        <v>0.431660946777796</v>
      </c>
    </row>
    <row r="27" customFormat="false" ht="15" hidden="false" customHeight="false" outlineLevel="0" collapsed="false">
      <c r="B27" s="30" t="s">
        <v>38</v>
      </c>
      <c r="C27" s="27" t="n">
        <f aca="false">F7</f>
        <v>0.231618722574354</v>
      </c>
      <c r="D27" s="31" t="s">
        <v>84</v>
      </c>
      <c r="E27" s="29" t="n">
        <f aca="false">F13</f>
        <v>0.863578947368421</v>
      </c>
      <c r="F27" s="31" t="s">
        <v>84</v>
      </c>
      <c r="G27" s="29" t="n">
        <f aca="false">F19</f>
        <v>2.02127659574468</v>
      </c>
      <c r="H27" s="31" t="s">
        <v>85</v>
      </c>
      <c r="I27" s="32" t="n">
        <f aca="false">C27*E27*G27</f>
        <v>0.404297872340426</v>
      </c>
    </row>
    <row r="29" customFormat="false" ht="15" hidden="false" customHeight="false" outlineLevel="0" collapsed="false">
      <c r="B29" s="11" t="s">
        <v>86</v>
      </c>
    </row>
    <row r="30" customFormat="false" ht="15" hidden="false" customHeight="false" outlineLevel="0" collapsed="false">
      <c r="B30" s="11" t="s">
        <v>87</v>
      </c>
    </row>
    <row r="31" customFormat="false" ht="15" hidden="false" customHeight="false" outlineLevel="0" collapsed="false">
      <c r="B31" s="11" t="s">
        <v>88</v>
      </c>
    </row>
    <row r="32" customFormat="false" ht="15" hidden="false" customHeight="false" outlineLevel="0" collapsed="false">
      <c r="B32" s="11" t="s">
        <v>89</v>
      </c>
    </row>
    <row r="33" customFormat="false" ht="15" hidden="false" customHeight="false" outlineLevel="0" collapsed="false">
      <c r="B33" s="11" t="s">
        <v>90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4"/>
    <col collapsed="false" customWidth="true" hidden="false" outlineLevel="0" max="7" min="7" style="0" width="46"/>
  </cols>
  <sheetData>
    <row r="2" customFormat="false" ht="15" hidden="false" customHeight="false" outlineLevel="0" collapsed="false">
      <c r="B2" s="12" t="s">
        <v>91</v>
      </c>
      <c r="C2" s="12"/>
      <c r="D2" s="12"/>
    </row>
    <row r="4" customFormat="false" ht="15" hidden="false" customHeight="false" outlineLevel="0" collapsed="false">
      <c r="B4" s="8" t="s">
        <v>92</v>
      </c>
      <c r="C4" s="10" t="n">
        <v>2050</v>
      </c>
    </row>
    <row r="5" customFormat="false" ht="15" hidden="false" customHeight="false" outlineLevel="0" collapsed="false">
      <c r="B5" s="8" t="s">
        <v>93</v>
      </c>
      <c r="C5" s="33" t="n">
        <v>2.85228</v>
      </c>
    </row>
    <row r="6" customFormat="false" ht="15" hidden="false" customHeight="false" outlineLevel="0" collapsed="false">
      <c r="B6" s="8" t="s">
        <v>94</v>
      </c>
      <c r="C6" s="34" t="n">
        <v>160</v>
      </c>
    </row>
    <row r="7" customFormat="false" ht="15" hidden="false" customHeight="false" outlineLevel="0" collapsed="false">
      <c r="B7" s="8" t="s">
        <v>95</v>
      </c>
      <c r="C7" s="35" t="n">
        <f aca="false">C5*C6</f>
        <v>456.3648</v>
      </c>
    </row>
    <row r="8" customFormat="false" ht="15" hidden="false" customHeight="false" outlineLevel="0" collapsed="false">
      <c r="B8" s="36" t="s">
        <v>96</v>
      </c>
      <c r="C8" s="37" t="n">
        <f aca="false">C4+C7</f>
        <v>2506.3648</v>
      </c>
    </row>
    <row r="10" customFormat="false" ht="15" hidden="false" customHeight="false" outlineLevel="0" collapsed="false">
      <c r="B10" s="11" t="s">
        <v>97</v>
      </c>
    </row>
    <row r="12" customFormat="false" ht="15" hidden="false" customHeight="false" outlineLevel="0" collapsed="false">
      <c r="B12" s="4" t="s">
        <v>98</v>
      </c>
      <c r="C12" s="4"/>
      <c r="D12" s="4"/>
    </row>
    <row r="13" customFormat="false" ht="15" hidden="false" customHeight="false" outlineLevel="0" collapsed="false">
      <c r="B13" s="8" t="s">
        <v>99</v>
      </c>
      <c r="C13" s="10" t="n">
        <v>1886.9</v>
      </c>
    </row>
    <row r="14" customFormat="false" ht="15" hidden="false" customHeight="false" outlineLevel="0" collapsed="false">
      <c r="B14" s="19" t="s">
        <v>100</v>
      </c>
      <c r="C14" s="10" t="n">
        <v>1600</v>
      </c>
    </row>
    <row r="15" customFormat="false" ht="15" hidden="false" customHeight="false" outlineLevel="0" collapsed="false">
      <c r="B15" s="19" t="s">
        <v>101</v>
      </c>
      <c r="C15" s="20" t="n">
        <f aca="false">C13-C14</f>
        <v>286.9</v>
      </c>
    </row>
    <row r="16" customFormat="false" ht="15" hidden="false" customHeight="false" outlineLevel="0" collapsed="false">
      <c r="B16" s="8" t="s">
        <v>102</v>
      </c>
      <c r="C16" s="10" t="n">
        <v>712.7</v>
      </c>
    </row>
    <row r="17" customFormat="false" ht="15" hidden="false" customHeight="false" outlineLevel="0" collapsed="false">
      <c r="B17" s="17" t="s">
        <v>103</v>
      </c>
      <c r="C17" s="18" t="n">
        <f aca="false">C8-C13-C16</f>
        <v>-93.2352000000003</v>
      </c>
    </row>
    <row r="18" customFormat="false" ht="15" hidden="false" customHeight="false" outlineLevel="0" collapsed="false">
      <c r="B18" s="38" t="s">
        <v>104</v>
      </c>
    </row>
    <row r="20" customFormat="false" ht="15" hidden="false" customHeight="false" outlineLevel="0" collapsed="false">
      <c r="B20" s="19" t="s">
        <v>105</v>
      </c>
    </row>
    <row r="21" customFormat="false" ht="15" hidden="false" customHeight="false" outlineLevel="0" collapsed="false">
      <c r="B21" s="19" t="s">
        <v>106</v>
      </c>
      <c r="C21" s="20" t="n">
        <f aca="false">C17+C13+C16</f>
        <v>2506.3648</v>
      </c>
    </row>
    <row r="23" customFormat="false" ht="15" hidden="false" customHeight="false" outlineLevel="0" collapsed="false">
      <c r="B23" s="11" t="s">
        <v>107</v>
      </c>
    </row>
    <row r="24" customFormat="false" ht="15" hidden="false" customHeight="false" outlineLevel="0" collapsed="false">
      <c r="B24" s="11" t="s">
        <v>108</v>
      </c>
    </row>
    <row r="25" customFormat="false" ht="15" hidden="false" customHeight="false" outlineLevel="0" collapsed="false">
      <c r="B25" s="11" t="s">
        <v>109</v>
      </c>
    </row>
    <row r="27" customFormat="false" ht="15" hidden="false" customHeight="false" outlineLevel="0" collapsed="false">
      <c r="B27" s="4" t="s">
        <v>110</v>
      </c>
      <c r="C27" s="4"/>
      <c r="D27" s="4"/>
      <c r="E27" s="4"/>
    </row>
    <row r="28" customFormat="false" ht="15" hidden="false" customHeight="false" outlineLevel="0" collapsed="false">
      <c r="B28" s="8" t="s">
        <v>111</v>
      </c>
      <c r="C28" s="9" t="n">
        <v>15</v>
      </c>
    </row>
    <row r="29" customFormat="false" ht="15" hidden="false" customHeight="false" outlineLevel="0" collapsed="false">
      <c r="B29" s="17" t="s">
        <v>112</v>
      </c>
      <c r="C29" s="18" t="n">
        <f aca="false">C15/C28</f>
        <v>19.1266666666667</v>
      </c>
    </row>
    <row r="31" customFormat="false" ht="15" hidden="false" customHeight="false" outlineLevel="0" collapsed="false">
      <c r="C31" s="13" t="s">
        <v>36</v>
      </c>
      <c r="D31" s="13" t="s">
        <v>37</v>
      </c>
      <c r="E31" s="13" t="s">
        <v>38</v>
      </c>
      <c r="F31" s="13" t="s">
        <v>113</v>
      </c>
      <c r="G31" s="13" t="s">
        <v>114</v>
      </c>
    </row>
    <row r="32" customFormat="false" ht="15" hidden="false" customHeight="false" outlineLevel="0" collapsed="false">
      <c r="B32" s="8" t="s">
        <v>115</v>
      </c>
      <c r="C32" s="35" t="n">
        <f aca="false">$C$29</f>
        <v>19.1266666666667</v>
      </c>
      <c r="D32" s="35" t="n">
        <f aca="false">$C$29</f>
        <v>19.1266666666667</v>
      </c>
      <c r="E32" s="35" t="n">
        <f aca="false">$C$29</f>
        <v>19.1266666666667</v>
      </c>
      <c r="F32" s="35" t="n">
        <f aca="false">$C$29</f>
        <v>19.1266666666667</v>
      </c>
      <c r="G32" s="35" t="n">
        <f aca="false">$C$29</f>
        <v>19.1266666666667</v>
      </c>
    </row>
    <row r="33" customFormat="false" ht="15" hidden="false" customHeight="false" outlineLevel="0" collapsed="false">
      <c r="B33" s="8" t="s">
        <v>116</v>
      </c>
      <c r="C33" s="35" t="n">
        <f aca="false">C32</f>
        <v>19.1266666666667</v>
      </c>
      <c r="D33" s="35" t="n">
        <f aca="false">C33+D32</f>
        <v>38.2533333333333</v>
      </c>
      <c r="E33" s="35" t="n">
        <f aca="false">D33+E32</f>
        <v>57.38</v>
      </c>
      <c r="F33" s="35" t="n">
        <f aca="false">E33+F32</f>
        <v>76.5066666666667</v>
      </c>
      <c r="G33" s="35" t="n">
        <f aca="false">F33+G32</f>
        <v>95.6333333333334</v>
      </c>
    </row>
    <row r="34" customFormat="false" ht="15" hidden="false" customHeight="false" outlineLevel="0" collapsed="false">
      <c r="B34" s="17" t="s">
        <v>117</v>
      </c>
      <c r="C34" s="18" t="n">
        <f aca="false">$C$15-C33</f>
        <v>267.773333333333</v>
      </c>
      <c r="D34" s="18" t="n">
        <f aca="false">$C$15-D33</f>
        <v>248.646666666667</v>
      </c>
      <c r="E34" s="18" t="n">
        <f aca="false">$C$15-E33</f>
        <v>229.52</v>
      </c>
      <c r="F34" s="18" t="n">
        <f aca="false">$C$15-F33</f>
        <v>210.393333333333</v>
      </c>
      <c r="G34" s="18" t="n">
        <f aca="false">$C$15-G33</f>
        <v>191.266666666667</v>
      </c>
    </row>
    <row r="36" customFormat="false" ht="15" hidden="false" customHeight="false" outlineLevel="0" collapsed="false">
      <c r="B36" s="4" t="s">
        <v>118</v>
      </c>
      <c r="C36" s="4"/>
      <c r="D36" s="4"/>
      <c r="E36" s="4"/>
    </row>
    <row r="37" customFormat="false" ht="15" hidden="false" customHeight="false" outlineLevel="0" collapsed="false">
      <c r="B37" s="8" t="s">
        <v>119</v>
      </c>
      <c r="C37" s="10" t="n">
        <v>738</v>
      </c>
    </row>
    <row r="38" customFormat="false" ht="15" hidden="false" customHeight="false" outlineLevel="0" collapsed="false">
      <c r="B38" s="19" t="s">
        <v>120</v>
      </c>
      <c r="C38" s="10" t="n">
        <v>308</v>
      </c>
    </row>
    <row r="39" customFormat="false" ht="15" hidden="false" customHeight="false" outlineLevel="0" collapsed="false">
      <c r="B39" s="19" t="s">
        <v>121</v>
      </c>
      <c r="C39" s="20" t="n">
        <f aca="false">C37-C38</f>
        <v>430</v>
      </c>
    </row>
    <row r="40" customFormat="false" ht="15" hidden="false" customHeight="false" outlineLevel="0" collapsed="false">
      <c r="B40" s="17" t="s">
        <v>122</v>
      </c>
      <c r="C40" s="18" t="n">
        <f aca="false">C16-C38</f>
        <v>404.7</v>
      </c>
    </row>
    <row r="41" customFormat="false" ht="15" hidden="false" customHeight="false" outlineLevel="0" collapsed="false">
      <c r="B41" s="17" t="s">
        <v>123</v>
      </c>
      <c r="C41" s="18" t="n">
        <f aca="false">C14-C39</f>
        <v>1170</v>
      </c>
    </row>
    <row r="43" customFormat="false" ht="15" hidden="false" customHeight="false" outlineLevel="0" collapsed="false">
      <c r="B43" s="11" t="s">
        <v>124</v>
      </c>
    </row>
    <row r="44" customFormat="false" ht="15" hidden="false" customHeight="false" outlineLevel="0" collapsed="false">
      <c r="B44" s="11" t="s">
        <v>125</v>
      </c>
    </row>
    <row r="45" customFormat="false" ht="15" hidden="false" customHeight="false" outlineLevel="0" collapsed="false">
      <c r="B45" s="11" t="s">
        <v>126</v>
      </c>
    </row>
    <row r="46" customFormat="false" ht="15" hidden="false" customHeight="false" outlineLevel="0" collapsed="false">
      <c r="B46" s="11" t="s">
        <v>127</v>
      </c>
    </row>
    <row r="47" customFormat="false" ht="15" hidden="false" customHeight="false" outlineLevel="0" collapsed="false">
      <c r="B47" s="11" t="s">
        <v>128</v>
      </c>
    </row>
    <row r="48" customFormat="false" ht="15" hidden="false" customHeight="false" outlineLevel="0" collapsed="false">
      <c r="B48" s="11" t="s">
        <v>129</v>
      </c>
    </row>
    <row r="49" customFormat="false" ht="15" hidden="false" customHeight="false" outlineLevel="0" collapsed="false">
      <c r="B49" s="11" t="s">
        <v>130</v>
      </c>
    </row>
    <row r="50" customFormat="false" ht="15" hidden="false" customHeight="false" outlineLevel="0" collapsed="false">
      <c r="B50" s="11" t="s">
        <v>131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46"/>
  </cols>
  <sheetData>
    <row r="2" customFormat="false" ht="15" hidden="false" customHeight="false" outlineLevel="0" collapsed="false">
      <c r="B2" s="12" t="s">
        <v>132</v>
      </c>
      <c r="C2" s="12"/>
      <c r="D2" s="12"/>
      <c r="E2" s="12"/>
      <c r="F2" s="12"/>
    </row>
    <row r="4" customFormat="false" ht="35.05" hidden="false" customHeight="false" outlineLevel="0" collapsed="false">
      <c r="B4" s="39" t="s">
        <v>133</v>
      </c>
      <c r="C4" s="39" t="s">
        <v>134</v>
      </c>
      <c r="D4" s="39" t="s">
        <v>135</v>
      </c>
      <c r="E4" s="39" t="s">
        <v>136</v>
      </c>
      <c r="F4" s="39" t="s">
        <v>137</v>
      </c>
    </row>
    <row r="5" customFormat="false" ht="15" hidden="false" customHeight="false" outlineLevel="0" collapsed="false">
      <c r="B5" s="9" t="s">
        <v>138</v>
      </c>
      <c r="C5" s="9" t="s">
        <v>139</v>
      </c>
      <c r="D5" s="9" t="s">
        <v>140</v>
      </c>
      <c r="E5" s="10" t="n">
        <v>350</v>
      </c>
      <c r="F5" s="35" t="n">
        <f aca="false">E5*0.0425</f>
        <v>14.875</v>
      </c>
    </row>
    <row r="6" customFormat="false" ht="15" hidden="false" customHeight="false" outlineLevel="0" collapsed="false">
      <c r="B6" s="9" t="s">
        <v>138</v>
      </c>
      <c r="C6" s="9" t="s">
        <v>141</v>
      </c>
      <c r="D6" s="9" t="s">
        <v>142</v>
      </c>
      <c r="E6" s="10" t="n">
        <v>350</v>
      </c>
      <c r="F6" s="35" t="n">
        <f aca="false">E6*0.04125</f>
        <v>14.4375</v>
      </c>
    </row>
    <row r="7" customFormat="false" ht="15" hidden="false" customHeight="false" outlineLevel="0" collapsed="false">
      <c r="B7" s="9" t="s">
        <v>143</v>
      </c>
      <c r="C7" s="9" t="s">
        <v>139</v>
      </c>
      <c r="D7" s="9" t="s">
        <v>144</v>
      </c>
      <c r="E7" s="10" t="n">
        <v>820</v>
      </c>
      <c r="F7" s="35" t="n">
        <f aca="false">E7*0.085</f>
        <v>69.7</v>
      </c>
    </row>
    <row r="8" customFormat="false" ht="15" hidden="false" customHeight="false" outlineLevel="0" collapsed="false">
      <c r="B8" s="9" t="s">
        <v>145</v>
      </c>
      <c r="C8" s="9" t="s">
        <v>146</v>
      </c>
      <c r="D8" s="9" t="s">
        <v>147</v>
      </c>
      <c r="E8" s="10" t="n">
        <v>190</v>
      </c>
      <c r="F8" s="35" t="n">
        <f aca="false">E8*0.07</f>
        <v>13.3</v>
      </c>
    </row>
    <row r="9" customFormat="false" ht="15" hidden="false" customHeight="false" outlineLevel="0" collapsed="false">
      <c r="B9" s="17" t="s">
        <v>148</v>
      </c>
      <c r="E9" s="18" t="n">
        <f aca="false">SUM(E5:E8)</f>
        <v>1710</v>
      </c>
      <c r="F9" s="18" t="n">
        <f aca="false">SUM(F5:F8)</f>
        <v>112.3125</v>
      </c>
    </row>
    <row r="11" customFormat="false" ht="15" hidden="false" customHeight="false" outlineLevel="0" collapsed="false">
      <c r="B11" s="11" t="s">
        <v>149</v>
      </c>
    </row>
    <row r="12" customFormat="false" ht="15" hidden="false" customHeight="false" outlineLevel="0" collapsed="false">
      <c r="B12" s="11" t="s">
        <v>150</v>
      </c>
    </row>
    <row r="14" customFormat="false" ht="15" hidden="false" customHeight="false" outlineLevel="0" collapsed="false">
      <c r="B14" s="4" t="s">
        <v>151</v>
      </c>
      <c r="C14" s="4"/>
      <c r="D14" s="4"/>
      <c r="E14" s="4"/>
      <c r="F14" s="4"/>
    </row>
    <row r="15" customFormat="false" ht="15" hidden="false" customHeight="false" outlineLevel="0" collapsed="false">
      <c r="C15" s="13" t="s">
        <v>36</v>
      </c>
      <c r="D15" s="13" t="s">
        <v>37</v>
      </c>
      <c r="E15" s="13" t="s">
        <v>38</v>
      </c>
      <c r="F15" s="13" t="s">
        <v>113</v>
      </c>
    </row>
    <row r="16" customFormat="false" ht="15" hidden="false" customHeight="false" outlineLevel="0" collapsed="false">
      <c r="B16" s="8" t="s">
        <v>152</v>
      </c>
      <c r="C16" s="10" t="n">
        <v>2320</v>
      </c>
      <c r="D16" s="10" t="n">
        <v>1664</v>
      </c>
      <c r="E16" s="10" t="n">
        <v>1349</v>
      </c>
      <c r="F16" s="10" t="n">
        <v>1231</v>
      </c>
    </row>
    <row r="17" customFormat="false" ht="15" hidden="false" customHeight="false" outlineLevel="0" collapsed="false">
      <c r="B17" s="8" t="s">
        <v>153</v>
      </c>
      <c r="D17" s="35" t="n">
        <f aca="false">C16-D16</f>
        <v>656</v>
      </c>
      <c r="E17" s="35" t="n">
        <f aca="false">D16-E16</f>
        <v>315</v>
      </c>
      <c r="F17" s="35" t="n">
        <f aca="false">E16-F16</f>
        <v>118</v>
      </c>
    </row>
    <row r="19" customFormat="false" ht="15" hidden="false" customHeight="false" outlineLevel="0" collapsed="false">
      <c r="B19" s="4" t="s">
        <v>154</v>
      </c>
      <c r="C19" s="4"/>
      <c r="D19" s="4"/>
      <c r="E19" s="4"/>
      <c r="F19" s="4"/>
    </row>
    <row r="20" customFormat="false" ht="15" hidden="false" customHeight="false" outlineLevel="0" collapsed="false">
      <c r="C20" s="13" t="s">
        <v>35</v>
      </c>
      <c r="D20" s="13" t="s">
        <v>36</v>
      </c>
      <c r="E20" s="13" t="s">
        <v>37</v>
      </c>
      <c r="F20" s="13" t="s">
        <v>38</v>
      </c>
    </row>
    <row r="21" customFormat="false" ht="15" hidden="false" customHeight="false" outlineLevel="0" collapsed="false">
      <c r="B21" s="8" t="s">
        <v>155</v>
      </c>
      <c r="C21" s="40" t="n">
        <f aca="false">'3-Statement Summary'!C8+20</f>
        <v>702.453</v>
      </c>
      <c r="D21" s="40" t="n">
        <f aca="false">'3-Statement Summary'!D8+45</f>
        <v>894.884</v>
      </c>
      <c r="E21" s="40" t="n">
        <f aca="false">'3-Statement Summary'!E8+65</f>
        <v>1101.8126</v>
      </c>
      <c r="F21" s="40" t="n">
        <f aca="false">'3-Statement Summary'!F8+60</f>
        <v>1081.398</v>
      </c>
    </row>
    <row r="22" customFormat="false" ht="15" hidden="false" customHeight="false" outlineLevel="0" collapsed="false">
      <c r="B22" s="8" t="s">
        <v>156</v>
      </c>
      <c r="C22" s="40" t="n">
        <f aca="false">'3-Statement Summary'!C28-'3-Statement Summary'!C23</f>
        <v>750.4</v>
      </c>
      <c r="D22" s="40" t="n">
        <f aca="false">'3-Statement Summary'!D28-'3-Statement Summary'!D23</f>
        <v>2403.4</v>
      </c>
      <c r="E22" s="40" t="n">
        <f aca="false">'3-Statement Summary'!E28-'3-Statement Summary'!E23</f>
        <v>1847.4</v>
      </c>
      <c r="F22" s="40" t="n">
        <f aca="false">'3-Statement Summary'!F28-'3-Statement Summary'!F23</f>
        <v>1470</v>
      </c>
    </row>
    <row r="23" customFormat="false" ht="15" hidden="false" customHeight="false" outlineLevel="0" collapsed="false">
      <c r="B23" s="36" t="s">
        <v>157</v>
      </c>
      <c r="C23" s="41" t="n">
        <f aca="false">C22/C21</f>
        <v>1.06825652392402</v>
      </c>
      <c r="D23" s="41" t="n">
        <f aca="false">D22/D21</f>
        <v>2.68571122067218</v>
      </c>
      <c r="E23" s="41" t="n">
        <f aca="false">E22/E21</f>
        <v>1.67669166244786</v>
      </c>
      <c r="F23" s="41" t="n">
        <f aca="false">F22/F21</f>
        <v>1.35935150610598</v>
      </c>
    </row>
    <row r="24" customFormat="false" ht="15" hidden="false" customHeight="false" outlineLevel="0" collapsed="false">
      <c r="B24" s="17" t="s">
        <v>158</v>
      </c>
      <c r="C24" s="42" t="n">
        <f aca="false">'3-Statement Summary'!C8/'3-Statement Summary'!C11</f>
        <v>45.4968666666667</v>
      </c>
      <c r="D24" s="42" t="n">
        <f aca="false">'3-Statement Summary'!D8/'3-Statement Summary'!D11</f>
        <v>8.94614736842105</v>
      </c>
      <c r="E24" s="42" t="n">
        <f aca="false">'3-Statement Summary'!E8/'3-Statement Summary'!E11</f>
        <v>9.25725535714286</v>
      </c>
      <c r="F24" s="42" t="n">
        <f aca="false">'3-Statement Summary'!F8/'3-Statement Summary'!F11</f>
        <v>11.3488666666667</v>
      </c>
    </row>
    <row r="26" customFormat="false" ht="15" hidden="false" customHeight="false" outlineLevel="0" collapsed="false">
      <c r="B26" s="11" t="s">
        <v>159</v>
      </c>
    </row>
    <row r="27" customFormat="false" ht="15" hidden="false" customHeight="false" outlineLevel="0" collapsed="false">
      <c r="B27" s="11" t="s">
        <v>160</v>
      </c>
    </row>
    <row r="28" customFormat="false" ht="15" hidden="false" customHeight="false" outlineLevel="0" collapsed="false">
      <c r="B28" s="11" t="s">
        <v>161</v>
      </c>
    </row>
    <row r="29" customFormat="false" ht="15" hidden="false" customHeight="false" outlineLevel="0" collapsed="false">
      <c r="B29" s="11" t="s">
        <v>162</v>
      </c>
    </row>
    <row r="30" customFormat="false" ht="15" hidden="false" customHeight="false" outlineLevel="0" collapsed="false">
      <c r="B30" s="11" t="s">
        <v>163</v>
      </c>
    </row>
    <row r="31" customFormat="false" ht="15" hidden="false" customHeight="false" outlineLevel="0" collapsed="false">
      <c r="B31" s="11" t="s">
        <v>164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5" min="4" style="0" width="15"/>
    <col collapsed="false" customWidth="true" hidden="false" outlineLevel="0" max="6" min="6" style="0" width="4"/>
    <col collapsed="false" customWidth="true" hidden="false" outlineLevel="0" max="7" min="7" style="0" width="40"/>
  </cols>
  <sheetData>
    <row r="2" customFormat="false" ht="15" hidden="false" customHeight="false" outlineLevel="0" collapsed="false">
      <c r="B2" s="12" t="s">
        <v>165</v>
      </c>
      <c r="C2" s="12"/>
      <c r="D2" s="12"/>
      <c r="E2" s="12"/>
      <c r="F2" s="12"/>
    </row>
    <row r="3" customFormat="false" ht="15" hidden="false" customHeight="false" outlineLevel="0" collapsed="false">
      <c r="B3" s="19" t="s">
        <v>166</v>
      </c>
    </row>
    <row r="4" customFormat="false" ht="15" hidden="false" customHeight="false" outlineLevel="0" collapsed="false">
      <c r="B4" s="19" t="s">
        <v>167</v>
      </c>
    </row>
    <row r="6" customFormat="false" ht="15" hidden="false" customHeight="false" outlineLevel="0" collapsed="false">
      <c r="B6" s="36" t="s">
        <v>168</v>
      </c>
      <c r="C6" s="43"/>
      <c r="D6" s="43"/>
      <c r="E6" s="43"/>
    </row>
    <row r="7" customFormat="false" ht="15" hidden="false" customHeight="false" outlineLevel="0" collapsed="false">
      <c r="C7" s="44" t="s">
        <v>169</v>
      </c>
      <c r="D7" s="44" t="s">
        <v>170</v>
      </c>
      <c r="E7" s="44" t="s">
        <v>171</v>
      </c>
    </row>
    <row r="8" customFormat="false" ht="15" hidden="false" customHeight="false" outlineLevel="0" collapsed="false">
      <c r="C8" s="45" t="s">
        <v>172</v>
      </c>
      <c r="D8" s="10" t="n">
        <v>712.7</v>
      </c>
    </row>
    <row r="9" customFormat="false" ht="15" hidden="false" customHeight="false" outlineLevel="0" collapsed="false">
      <c r="C9" s="45" t="s">
        <v>173</v>
      </c>
      <c r="D9" s="10" t="n">
        <v>1600</v>
      </c>
    </row>
    <row r="10" customFormat="false" ht="15" hidden="false" customHeight="false" outlineLevel="0" collapsed="false">
      <c r="C10" s="45" t="s">
        <v>174</v>
      </c>
      <c r="D10" s="10" t="n">
        <v>286.9</v>
      </c>
    </row>
    <row r="11" customFormat="false" ht="15" hidden="false" customHeight="false" outlineLevel="0" collapsed="false">
      <c r="C11" s="45" t="s">
        <v>175</v>
      </c>
      <c r="E11" s="10" t="n">
        <v>93.2</v>
      </c>
    </row>
    <row r="12" customFormat="false" ht="15" hidden="false" customHeight="false" outlineLevel="0" collapsed="false">
      <c r="C12" s="45" t="s">
        <v>176</v>
      </c>
      <c r="E12" s="10" t="n">
        <v>2050</v>
      </c>
    </row>
    <row r="13" customFormat="false" ht="15" hidden="false" customHeight="false" outlineLevel="0" collapsed="false">
      <c r="C13" s="45" t="s">
        <v>177</v>
      </c>
      <c r="E13" s="10" t="n">
        <v>456.4</v>
      </c>
    </row>
    <row r="14" customFormat="false" ht="15" hidden="false" customHeight="false" outlineLevel="0" collapsed="false">
      <c r="C14" s="19" t="s">
        <v>178</v>
      </c>
      <c r="D14" s="46" t="n">
        <v>2599.6</v>
      </c>
      <c r="E14" s="46" t="n">
        <v>2599.6</v>
      </c>
    </row>
    <row r="15" customFormat="false" ht="15" hidden="false" customHeight="false" outlineLevel="0" collapsed="false">
      <c r="C15" s="47" t="s">
        <v>179</v>
      </c>
      <c r="D15" s="47"/>
      <c r="E15" s="47"/>
      <c r="F15" s="47"/>
    </row>
    <row r="16" customFormat="false" ht="15" hidden="false" customHeight="false" outlineLevel="0" collapsed="false">
      <c r="C16" s="47" t="s">
        <v>180</v>
      </c>
      <c r="D16" s="47"/>
      <c r="E16" s="47"/>
      <c r="F16" s="47"/>
    </row>
    <row r="17" customFormat="false" ht="15" hidden="false" customHeight="false" outlineLevel="0" collapsed="false">
      <c r="C17" s="47" t="s">
        <v>181</v>
      </c>
      <c r="D17" s="47"/>
      <c r="E17" s="47"/>
      <c r="F17" s="47"/>
    </row>
    <row r="19" customFormat="false" ht="15" hidden="false" customHeight="false" outlineLevel="0" collapsed="false">
      <c r="B19" s="36" t="s">
        <v>182</v>
      </c>
      <c r="C19" s="43"/>
      <c r="D19" s="43"/>
      <c r="E19" s="43"/>
    </row>
    <row r="20" customFormat="false" ht="15" hidden="false" customHeight="false" outlineLevel="0" collapsed="false">
      <c r="C20" s="44" t="s">
        <v>169</v>
      </c>
      <c r="D20" s="44" t="s">
        <v>170</v>
      </c>
      <c r="E20" s="44" t="s">
        <v>171</v>
      </c>
    </row>
    <row r="21" customFormat="false" ht="15" hidden="false" customHeight="false" outlineLevel="0" collapsed="false">
      <c r="C21" s="45" t="s">
        <v>183</v>
      </c>
      <c r="D21" s="10" t="n">
        <v>10</v>
      </c>
    </row>
    <row r="22" customFormat="false" ht="15" hidden="false" customHeight="false" outlineLevel="0" collapsed="false">
      <c r="C22" s="45" t="s">
        <v>184</v>
      </c>
      <c r="E22" s="10" t="n">
        <v>10</v>
      </c>
    </row>
    <row r="23" customFormat="false" ht="15" hidden="false" customHeight="false" outlineLevel="0" collapsed="false">
      <c r="C23" s="45" t="s">
        <v>185</v>
      </c>
      <c r="D23" s="10" t="n">
        <v>4.2</v>
      </c>
    </row>
    <row r="24" customFormat="false" ht="15" hidden="false" customHeight="false" outlineLevel="0" collapsed="false">
      <c r="C24" s="45" t="s">
        <v>186</v>
      </c>
      <c r="E24" s="10" t="n">
        <v>4.2</v>
      </c>
    </row>
    <row r="25" customFormat="false" ht="15" hidden="false" customHeight="false" outlineLevel="0" collapsed="false">
      <c r="C25" s="19" t="s">
        <v>178</v>
      </c>
      <c r="D25" s="46" t="n">
        <v>14.2</v>
      </c>
      <c r="E25" s="46" t="n">
        <v>14.2</v>
      </c>
    </row>
    <row r="26" customFormat="false" ht="15" hidden="false" customHeight="false" outlineLevel="0" collapsed="false">
      <c r="C26" s="47" t="s">
        <v>187</v>
      </c>
      <c r="D26" s="47"/>
      <c r="E26" s="47"/>
      <c r="F26" s="47"/>
    </row>
    <row r="27" customFormat="false" ht="15" hidden="false" customHeight="false" outlineLevel="0" collapsed="false">
      <c r="C27" s="47" t="s">
        <v>188</v>
      </c>
      <c r="D27" s="47"/>
      <c r="E27" s="47"/>
      <c r="F27" s="47"/>
    </row>
    <row r="28" customFormat="false" ht="15" hidden="false" customHeight="false" outlineLevel="0" collapsed="false">
      <c r="C28" s="47" t="s">
        <v>189</v>
      </c>
      <c r="D28" s="47"/>
      <c r="E28" s="47"/>
      <c r="F28" s="47"/>
    </row>
    <row r="29" customFormat="false" ht="15" hidden="false" customHeight="false" outlineLevel="0" collapsed="false">
      <c r="C29" s="47" t="s">
        <v>190</v>
      </c>
      <c r="D29" s="47"/>
      <c r="E29" s="47"/>
      <c r="F29" s="47"/>
    </row>
    <row r="30" customFormat="false" ht="15" hidden="false" customHeight="false" outlineLevel="0" collapsed="false">
      <c r="C30" s="47" t="s">
        <v>191</v>
      </c>
      <c r="D30" s="47"/>
      <c r="E30" s="47"/>
      <c r="F30" s="47"/>
    </row>
    <row r="32" customFormat="false" ht="15" hidden="false" customHeight="false" outlineLevel="0" collapsed="false">
      <c r="B32" s="36" t="s">
        <v>192</v>
      </c>
      <c r="C32" s="43"/>
      <c r="D32" s="43"/>
      <c r="E32" s="43"/>
    </row>
    <row r="33" customFormat="false" ht="15" hidden="false" customHeight="false" outlineLevel="0" collapsed="false">
      <c r="C33" s="44" t="s">
        <v>169</v>
      </c>
      <c r="D33" s="44" t="s">
        <v>170</v>
      </c>
      <c r="E33" s="44" t="s">
        <v>171</v>
      </c>
    </row>
    <row r="34" customFormat="false" ht="15" hidden="false" customHeight="false" outlineLevel="0" collapsed="false">
      <c r="C34" s="45" t="s">
        <v>193</v>
      </c>
      <c r="D34" s="10" t="n">
        <v>19.1</v>
      </c>
    </row>
    <row r="35" customFormat="false" ht="15" hidden="false" customHeight="false" outlineLevel="0" collapsed="false">
      <c r="C35" s="45" t="s">
        <v>194</v>
      </c>
      <c r="E35" s="10" t="n">
        <v>19.1</v>
      </c>
    </row>
    <row r="36" customFormat="false" ht="15" hidden="false" customHeight="false" outlineLevel="0" collapsed="false">
      <c r="C36" s="19" t="s">
        <v>178</v>
      </c>
      <c r="D36" s="46" t="n">
        <v>19.1</v>
      </c>
      <c r="E36" s="46" t="n">
        <v>19.1</v>
      </c>
    </row>
    <row r="37" customFormat="false" ht="15" hidden="false" customHeight="false" outlineLevel="0" collapsed="false">
      <c r="C37" s="47" t="s">
        <v>195</v>
      </c>
      <c r="D37" s="47"/>
      <c r="E37" s="47"/>
      <c r="F37" s="47"/>
    </row>
    <row r="38" customFormat="false" ht="15" hidden="false" customHeight="false" outlineLevel="0" collapsed="false">
      <c r="C38" s="47" t="s">
        <v>196</v>
      </c>
      <c r="D38" s="47"/>
      <c r="E38" s="47"/>
      <c r="F38" s="47"/>
    </row>
    <row r="39" customFormat="false" ht="15" hidden="false" customHeight="false" outlineLevel="0" collapsed="false">
      <c r="C39" s="47" t="s">
        <v>197</v>
      </c>
      <c r="D39" s="47"/>
      <c r="E39" s="47"/>
      <c r="F39" s="47"/>
    </row>
    <row r="40" customFormat="false" ht="15" hidden="false" customHeight="false" outlineLevel="0" collapsed="false">
      <c r="C40" s="47" t="s">
        <v>198</v>
      </c>
      <c r="D40" s="47"/>
      <c r="E40" s="47"/>
      <c r="F40" s="47"/>
    </row>
    <row r="42" customFormat="false" ht="15" hidden="false" customHeight="false" outlineLevel="0" collapsed="false">
      <c r="B42" s="36" t="s">
        <v>199</v>
      </c>
      <c r="C42" s="43"/>
      <c r="D42" s="43"/>
      <c r="E42" s="43"/>
    </row>
    <row r="43" customFormat="false" ht="15" hidden="false" customHeight="false" outlineLevel="0" collapsed="false">
      <c r="C43" s="44" t="s">
        <v>169</v>
      </c>
      <c r="D43" s="44" t="s">
        <v>170</v>
      </c>
      <c r="E43" s="44" t="s">
        <v>171</v>
      </c>
    </row>
    <row r="44" customFormat="false" ht="15" hidden="false" customHeight="false" outlineLevel="0" collapsed="false">
      <c r="C44" s="45" t="s">
        <v>200</v>
      </c>
      <c r="D44" s="10" t="n">
        <v>738</v>
      </c>
    </row>
    <row r="45" customFormat="false" ht="15" hidden="false" customHeight="false" outlineLevel="0" collapsed="false">
      <c r="C45" s="45" t="s">
        <v>201</v>
      </c>
      <c r="E45" s="10" t="n">
        <v>308</v>
      </c>
    </row>
    <row r="46" customFormat="false" ht="15" hidden="false" customHeight="false" outlineLevel="0" collapsed="false">
      <c r="C46" s="45" t="s">
        <v>202</v>
      </c>
      <c r="E46" s="10" t="n">
        <v>430</v>
      </c>
    </row>
    <row r="47" customFormat="false" ht="15" hidden="false" customHeight="false" outlineLevel="0" collapsed="false">
      <c r="C47" s="19" t="s">
        <v>178</v>
      </c>
      <c r="D47" s="46" t="n">
        <v>738</v>
      </c>
      <c r="E47" s="46" t="n">
        <v>738</v>
      </c>
    </row>
    <row r="48" customFormat="false" ht="15" hidden="false" customHeight="false" outlineLevel="0" collapsed="false">
      <c r="C48" s="47" t="s">
        <v>203</v>
      </c>
      <c r="D48" s="47"/>
      <c r="E48" s="47"/>
      <c r="F48" s="47"/>
    </row>
    <row r="49" customFormat="false" ht="15" hidden="false" customHeight="false" outlineLevel="0" collapsed="false">
      <c r="C49" s="47" t="s">
        <v>204</v>
      </c>
      <c r="D49" s="47"/>
      <c r="E49" s="47"/>
      <c r="F49" s="47"/>
    </row>
    <row r="50" customFormat="false" ht="15" hidden="false" customHeight="false" outlineLevel="0" collapsed="false">
      <c r="C50" s="47" t="s">
        <v>205</v>
      </c>
      <c r="D50" s="47"/>
      <c r="E50" s="47"/>
      <c r="F50" s="47"/>
    </row>
    <row r="51" customFormat="false" ht="15" hidden="false" customHeight="false" outlineLevel="0" collapsed="false">
      <c r="C51" s="47" t="s">
        <v>206</v>
      </c>
      <c r="D51" s="47"/>
      <c r="E51" s="47"/>
      <c r="F51" s="47"/>
    </row>
    <row r="53" customFormat="false" ht="15" hidden="false" customHeight="false" outlineLevel="0" collapsed="false">
      <c r="B53" s="11" t="s">
        <v>207</v>
      </c>
    </row>
    <row r="54" customFormat="false" ht="15" hidden="false" customHeight="false" outlineLevel="0" collapsed="false">
      <c r="B54" s="11" t="s">
        <v>208</v>
      </c>
    </row>
    <row r="55" customFormat="false" ht="15" hidden="false" customHeight="false" outlineLevel="0" collapsed="false">
      <c r="B55" s="11" t="s">
        <v>209</v>
      </c>
    </row>
  </sheetData>
  <mergeCells count="17">
    <mergeCell ref="B2:F2"/>
    <mergeCell ref="C15:F15"/>
    <mergeCell ref="C16:F16"/>
    <mergeCell ref="C17:F17"/>
    <mergeCell ref="C26:F26"/>
    <mergeCell ref="C27:F27"/>
    <mergeCell ref="C28:F28"/>
    <mergeCell ref="C29:F29"/>
    <mergeCell ref="C30:F30"/>
    <mergeCell ref="C37:F37"/>
    <mergeCell ref="C38:F38"/>
    <mergeCell ref="C39:F39"/>
    <mergeCell ref="C40:F40"/>
    <mergeCell ref="C48:F48"/>
    <mergeCell ref="C49:F49"/>
    <mergeCell ref="C50:F50"/>
    <mergeCell ref="C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2026-07-05T23:24:55Z</dcterms:created>
  <dc:creator>openpyxl</dc:creator>
  <dc:description/>
  <dc:language>en-US</dc:language>
  <cp:lastModifiedBy/>
  <dcterms:modified xsi:type="dcterms:W3CDTF">2026-07-05T23:24:55Z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