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Historical FS" sheetId="2" state="visible" r:id="rId4"/>
    <sheet name="CAPM &amp; WACC" sheetId="3" state="visible" r:id="rId5"/>
    <sheet name="DCF Valuation" sheetId="4" state="visible" r:id="rId6"/>
    <sheet name="Trading Comps" sheetId="5" state="visible" r:id="rId7"/>
    <sheet name="Portfolio Optimiz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<sst xmlns="http://schemas.openxmlformats.org/spreadsheetml/2006/main" count="224" uniqueCount="198">
  <si>
    <t xml:space="preserve">NIKE, INC. (NYSE: NKE)</t>
  </si>
  <si>
    <t xml:space="preserve">Equity Research &amp; Valuation Model — Finance Portfolio Piece</t>
  </si>
  <si>
    <t xml:space="preserve">Prepared by Ajai Upadhyaya  |  Model date: July 5, 2026</t>
  </si>
  <si>
    <t xml:space="preserve">MODEL CONTENTS</t>
  </si>
  <si>
    <t xml:space="preserve">1. Historical Financials</t>
  </si>
  <si>
    <t xml:space="preserve">FY2021–FY2025 income statement + FY2022–FY2025 cash flow, sourced from 10-K filings</t>
  </si>
  <si>
    <t xml:space="preserve">2. CAPM &amp; WACC</t>
  </si>
  <si>
    <t xml:space="preserve">Cost of equity/debt build using live risk-free rate, beta, and capital structure</t>
  </si>
  <si>
    <t xml:space="preserve">3. DCF Valuation</t>
  </si>
  <si>
    <t xml:space="preserve">5-year unlevered FCF projection, terminal value, sensitivity grid, implied share price</t>
  </si>
  <si>
    <t xml:space="preserve">4. Trading Comparables</t>
  </si>
  <si>
    <t xml:space="preserve">EV/EBITDA and P/E benchmarking vs. Lululemon, Deckers, adidas, On Holding</t>
  </si>
  <si>
    <t xml:space="preserve">5. Portfolio Optimization</t>
  </si>
  <si>
    <t xml:space="preserve">Two-asset Markowitz efficient frontier: NKE vs. athletic/apparel peer basket</t>
  </si>
  <si>
    <t xml:space="preserve">KEY MARKET DATA (as of July 2, 2026 close)</t>
  </si>
  <si>
    <t xml:space="preserve">Share Price</t>
  </si>
  <si>
    <t xml:space="preserve">Shares Outstanding (mm)</t>
  </si>
  <si>
    <t xml:space="preserve">Market Capitalization ($mm)</t>
  </si>
  <si>
    <t xml:space="preserve">Beta (5Y Monthly, Yahoo Finance)</t>
  </si>
  <si>
    <t xml:space="preserve">52-Week Range</t>
  </si>
  <si>
    <t xml:space="preserve">$40.00 - $80.17</t>
  </si>
  <si>
    <t xml:space="preserve">10-Yr US Treasury Yield (Rf)</t>
  </si>
  <si>
    <t xml:space="preserve">Sources: SEC EDGAR 10-K filings (FY2021–FY2025), NIKE Q4 FY2025/FY2026 earnings releases,</t>
  </si>
  <si>
    <t xml:space="preserve">Yahoo Finance, CNBC, Google Finance, U.S. Treasury (data as of dates noted in each cell).</t>
  </si>
  <si>
    <t xml:space="preserve">Color key: Blue = hardcoded input/source data.  Black = formula.  Green = cross-sheet link.</t>
  </si>
  <si>
    <t xml:space="preserve">NIKE, INC. — CONSOLIDATED INCOME STATEMENT ($ in millions, FY ends May 31)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</si>
  <si>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</si>
  <si>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</si>
  <si>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</si>
  <si>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</si>
  <si>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</si>
  <si>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Revenues</t>
  </si>
  <si>
    <t xml:space="preserve">Source: SEC EDGAR 10-K filings FY2021-FY2025 (compiled via stock-analysis-on.net);</t>
  </si>
  <si>
    <t xml:space="preserve">Cost of Sales</t>
  </si>
  <si>
    <t xml:space="preserve">nke-20250531.htm, nke-20240531.htm, etc. Cash flow: Yahoo Finance / company 10-Ks.</t>
  </si>
  <si>
    <t xml:space="preserve">Gross Profit</t>
  </si>
  <si>
    <t xml:space="preserve">D&amp;A known only for FY2024 ($796mm per 10-K); other years estimated at same % of revenue.</t>
  </si>
  <si>
    <t xml:space="preserve">   Gross Margin %</t>
  </si>
  <si>
    <t xml:space="preserve">Demand Creation Expense</t>
  </si>
  <si>
    <t xml:space="preserve">Operating Overhead Expense</t>
  </si>
  <si>
    <t xml:space="preserve">Operating Income (EBIT)</t>
  </si>
  <si>
    <t xml:space="preserve">   Operating Margin %</t>
  </si>
  <si>
    <t xml:space="preserve">Interest Income (Expense), Net</t>
  </si>
  <si>
    <t xml:space="preserve">Other Income (Expense), Net</t>
  </si>
  <si>
    <t xml:space="preserve">Income Before Income Taxes</t>
  </si>
  <si>
    <t xml:space="preserve">Income Tax Expense</t>
  </si>
  <si>
    <t xml:space="preserve">   Effective Tax Rate %</t>
  </si>
  <si>
    <t xml:space="preserve">Net Income</t>
  </si>
  <si>
    <t xml:space="preserve">   Net Margin %</t>
  </si>
  <si>
    <t xml:space="preserve">Diluted Weighted-Avg Shares (mm)</t>
  </si>
  <si>
    <t xml:space="preserve">Diluted EPS</t>
  </si>
  <si>
    <t xml:space="preserve">Depreciation &amp; Amortization</t>
  </si>
  <si>
    <t xml:space="preserve">EBITDA (EBIT + D&amp;A)</t>
  </si>
  <si>
    <t xml:space="preserve">CASH FLOW SUMMARY ($ in millions) — Source: Yahoo Finance / company 10-Ks</t>
  </si>
  <si>
    <t xml:space="preserve">Cash from Operations</t>
  </si>
  <si>
    <t xml:space="preserve">Capital Expenditures</t>
  </si>
  <si>
    <t xml:space="preserve">Free Cash Flow</t>
  </si>
  <si>
    <t xml:space="preserve">COST OF EQUITY — CAPITAL ASSET PRICING MODEL</t>
  </si>
  <si>
    <t xml:space="preserve">Risk-Free Rate (10-Yr US Treasury)</t>
  </si>
  <si>
    <t xml:space="preserve">Equity Risk Premium (Damodaran implied ERP, US)</t>
  </si>
  <si>
    <t xml:space="preserve">NKE Beta (5Y Monthly vs. S&amp;P 500)</t>
  </si>
  <si>
    <t xml:space="preserve">Cost of Equity  =  Rf + Beta x ERP</t>
  </si>
  <si>
    <t xml:space="preserve">COST OF DEBT</t>
  </si>
  <si>
    <t xml:space="preserve">Total Debt ($mm, FY2025 10-K)</t>
  </si>
  <si>
    <t xml:space="preserve">Interest Expense ($mm, FY2025 10-K)</t>
  </si>
  <si>
    <t xml:space="preserve">Pre-Tax Cost of Debt  =  Interest Exp / Total Debt</t>
  </si>
  <si>
    <t xml:space="preserve">Effective Tax Rate (avg FY2023-FY2025, from Historical FS)</t>
  </si>
  <si>
    <t xml:space="preserve">After-Tax Cost of Debt</t>
  </si>
  <si>
    <t xml:space="preserve">CAPITAL STRUCTURE &amp; WACC</t>
  </si>
  <si>
    <t xml:space="preserve">Market Value of Equity ($mm)</t>
  </si>
  <si>
    <t xml:space="preserve">Market Value of Debt ($mm)</t>
  </si>
  <si>
    <t xml:space="preserve">Total Capital</t>
  </si>
  <si>
    <t xml:space="preserve">Weight of Equity</t>
  </si>
  <si>
    <t xml:space="preserve">Weight of Debt</t>
  </si>
  <si>
    <t xml:space="preserve">WACC  =  We x CoE + Wd x CoD(after-tax)</t>
  </si>
  <si>
    <t xml:space="preserve">Sources: Risk-free rate &amp; beta linked from Cover tab (US Treasury, Yahoo Finance).</t>
  </si>
  <si>
    <t xml:space="preserve">ERP: Damodaran-style implied U.S. equity risk premium, ~5.0% typical estimate (mid-2026).</t>
  </si>
  <si>
    <t xml:space="preserve">Debt &amp; interest expense: NIKE FY2025 10-K. Tax rate: 3-yr average of historical effective rate.</t>
  </si>
  <si>
    <t xml:space="preserve">NIKE — 5-YEAR UNLEVERED FREE CASH FLOW PROJECTION ($ in millions)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</si>
  <si>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</si>
  <si>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</si>
  <si>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</si>
  <si>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</si>
  <si>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</si>
  <si>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</si>
  <si>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ASSUMPTIONS (blue = editable input)</t>
  </si>
  <si>
    <t xml:space="preserve">Revenue Growth %</t>
  </si>
  <si>
    <t xml:space="preserve">n/a</t>
  </si>
  <si>
    <t xml:space="preserve">EBIT Margin %</t>
  </si>
  <si>
    <t xml:space="preserve">Tax Rate % (linked from CAPM &amp; WACC)</t>
  </si>
  <si>
    <t xml:space="preserve">D&amp;A % of Revenue</t>
  </si>
  <si>
    <t xml:space="preserve">Capex % of Revenue</t>
  </si>
  <si>
    <t xml:space="preserve">Increase in NWC % of Revenue</t>
  </si>
  <si>
    <t xml:space="preserve">PROJECTION</t>
  </si>
  <si>
    <t xml:space="preserve">Revenue</t>
  </si>
  <si>
    <t xml:space="preserve">EBIT</t>
  </si>
  <si>
    <t xml:space="preserve">NOPAT = EBIT x (1 - tax)</t>
  </si>
  <si>
    <t xml:space="preserve">+ D&amp;A</t>
  </si>
  <si>
    <t xml:space="preserve">- Capex</t>
  </si>
  <si>
    <t xml:space="preserve">- Increase in NWC</t>
  </si>
  <si>
    <t xml:space="preserve">Unlevered Free Cash Flow</t>
  </si>
  <si>
    <t xml:space="preserve">Discount Period (t)</t>
  </si>
  <si>
    <t xml:space="preserve">Discount Factor @ WACC</t>
  </si>
  <si>
    <t xml:space="preserve">PV of Unlevered FCF</t>
  </si>
  <si>
    <t xml:space="preserve">ENTERPRISE VALUE BRIDGE</t>
  </si>
  <si>
    <t xml:space="preserve">Terminal Growth Rate (g)</t>
  </si>
  <si>
    <t xml:space="preserve">Terminal Value (Gordon Growth, end of FY2030)</t>
  </si>
  <si>
    <t xml:space="preserve">PV of Terminal Value</t>
  </si>
  <si>
    <t xml:space="preserve">Sum of PV of FCF (FY26-FY30)</t>
  </si>
  <si>
    <t xml:space="preserve">Enterprise Value</t>
  </si>
  <si>
    <t xml:space="preserve">Less: Total Debt ($mm, FY2025)</t>
  </si>
  <si>
    <t xml:space="preserve">Plus: Cash &amp; Short-Term Investments ($mm, FY2025)</t>
  </si>
  <si>
    <t xml:space="preserve">Implied Equity Value</t>
  </si>
  <si>
    <t xml:space="preserve">Diluted Shares Outstanding (mm)</t>
  </si>
  <si>
    <t xml:space="preserve">IMPLIED SHARE PRICE</t>
  </si>
  <si>
    <t xml:space="preserve">Current Share Price</t>
  </si>
  <si>
    <t xml:space="preserve">Implied Upside / (Downside)</t>
  </si>
  <si>
    <t xml:space="preserve">Sources: FY2025 actuals from Historical FS tab. Forward assumptions reflect a gradual margin</t>
  </si>
  <si>
    <t xml:space="preserve">recovery consistent with NIKE's 'Win Now' turnaround plan (management commentary, Q4 FY2025/26</t>
  </si>
  <si>
    <t xml:space="preserve">earnings calls). Debt/cash from FY2025 10-K. WACC and tax rate linked from CAPM &amp; WACC tab.</t>
  </si>
  <si>
    <t xml:space="preserve">SENSITIVITY: IMPLIED SHARE PRICE — WACC (rows) x TERMINAL GROWTH (columns)</t>
  </si>
  <si>
    <t xml:space="preserve">WACC \ g</t>
  </si>
  <si>
    <t xml:space="preserve">Base case (center cell) matches the point estimate above; grid shows implied price</t>
  </si>
  <si>
    <t xml:space="preserve">sensitivity to +/-1.0% WACC and terminal growth of 1.5%-3.5%.</t>
  </si>
  <si>
    <t xml:space="preserve">ATHLETIC APPAREL &amp; FOOTWEAR — TRADING COMPARABLES (as of early July 2026)</t>
  </si>
  <si>
    <t xml:space="preserve">Company</t>
  </si>
  <si>
    <t xml:space="preserve">Ticker</t>
  </si>
  <si>
    <t xml:space="preserve">Price</t>
  </si>
  <si>
    <t xml:space="preserve">Shares (mm)</t>
  </si>
  <si>
    <t xml:space="preserve">Market Cap</t>
  </si>
  <si>
    <t xml:space="preserve">Total Debt</t>
  </si>
  <si>
    <t xml:space="preserve">Cash</t>
  </si>
  <si>
    <t xml:space="preserve">Revenue (TTM)</t>
  </si>
  <si>
    <t xml:space="preserve">EBITDA (TTM)</t>
  </si>
  <si>
    <t xml:space="preserve">EV/EBITDA</t>
  </si>
  <si>
    <t xml:space="preserve">P/E (TTM)</t>
  </si>
  <si>
    <t xml:space="preserve">NIKE, Inc.</t>
  </si>
  <si>
    <t xml:space="preserve">NKE</t>
  </si>
  <si>
    <t xml:space="preserve">Lululemon Athletica</t>
  </si>
  <si>
    <t xml:space="preserve">LULU</t>
  </si>
  <si>
    <t xml:space="preserve">Deckers Outdoor</t>
  </si>
  <si>
    <t xml:space="preserve">DECK</t>
  </si>
  <si>
    <t xml:space="preserve">adidas AG (ADR)</t>
  </si>
  <si>
    <t xml:space="preserve">ADDYY</t>
  </si>
  <si>
    <t xml:space="preserve">On Holding AG</t>
  </si>
  <si>
    <t xml:space="preserve">ONON</t>
  </si>
  <si>
    <t xml:space="preserve">Peer Median (ex-NKE) EV/EBITDA</t>
  </si>
  <si>
    <t xml:space="preserve">Peer Median (ex-NKE) P/E</t>
  </si>
  <si>
    <t xml:space="preserve">IMPLIED NIKE VALUATION FROM PEER MULTIPLES</t>
  </si>
  <si>
    <t xml:space="preserve">Method</t>
  </si>
  <si>
    <t xml:space="preserve">Peer Multiple</t>
  </si>
  <si>
    <t xml:space="preserve">NKE Metric</t>
  </si>
  <si>
    <t xml:space="preserve">Implied EV</t>
  </si>
  <si>
    <t xml:space="preserve">Implied Share Price</t>
  </si>
  <si>
    <t xml:space="preserve">EV / EBITDA</t>
  </si>
  <si>
    <t xml:space="preserve">P / E (direct to equity)</t>
  </si>
  <si>
    <t xml:space="preserve">Cross-check vs. DCF implied share price:</t>
  </si>
  <si>
    <t xml:space="preserve">Sources: Prices/shares/market data — Yahoo Finance, CNBC, Google Finance, TIKR (early July 2026).</t>
  </si>
  <si>
    <t xml:space="preserve">LULU EBITDA/revenue: stockanalysis.com. DECK, ADDYY, ONON: company FY2025 filings and TIKR comp screens.</t>
  </si>
  <si>
    <t xml:space="preserve">NKE Revenue/EBITDA TTM: CNBC quote page. Debt/cash figures approximate where ADR/FX-translated.</t>
  </si>
  <si>
    <t xml:space="preserve">MARKOWITZ TWO-ASSET EFFICIENT FRONTIER — NIKE vs. ATHLETIC/APPAREL PEER BASKET</t>
  </si>
  <si>
    <t xml:space="preserve">ASSET INPUTS (CAPM expected return; volatility sourced/estimated)</t>
  </si>
  <si>
    <t xml:space="preserve">Asset</t>
  </si>
  <si>
    <t xml:space="preserve">Beta</t>
  </si>
  <si>
    <t xml:space="preserve">Expected Return (CAPM)</t>
  </si>
  <si>
    <t xml:space="preserve">Ann. Volatility</t>
  </si>
  <si>
    <t xml:space="preserve">Source</t>
  </si>
  <si>
    <t xml:space="preserve">NIKE (NKE)</t>
  </si>
  <si>
    <t xml:space="preserve">Beta: Yahoo Finance 5Y monthly. Vol: TradingView (4.53% wk x sqrt(52))</t>
  </si>
  <si>
    <t xml:space="preserve">Lululemon (LULU)</t>
  </si>
  <si>
    <t xml:space="preserve">Beta: stockanalysis.com. Vol: estimated (elevated post-selloff)</t>
  </si>
  <si>
    <t xml:space="preserve">Deckers (DECK)</t>
  </si>
  <si>
    <t xml:space="preserve">Beta: Google Finance. Vol: Simply Wall St (6% wk x sqrt(52))</t>
  </si>
  <si>
    <t xml:space="preserve">adidas (ADDYY)</t>
  </si>
  <si>
    <t xml:space="preserve">Beta/vol: estimated, large diversified multinational profile</t>
  </si>
  <si>
    <t xml:space="preserve">On Holding (ONON)</t>
  </si>
  <si>
    <t xml:space="preserve">Beta/vol: estimated, high-growth small-cap profile</t>
  </si>
  <si>
    <t xml:space="preserve">ESTIMATED CORRELATION MATRIX (sector co-movement assumption)</t>
  </si>
  <si>
    <t xml:space="preserve">COVARIANCE MATRIX  =  Corr(i,j) x Vol(i) x Vol(j)</t>
  </si>
  <si>
    <t xml:space="preserve">PEER BASKET (equal-weighted 25% each: LULU, DECK, ADDYY, ONON)</t>
  </si>
  <si>
    <t xml:space="preserve">Basket Expected Return</t>
  </si>
  <si>
    <t xml:space="preserve">Basket Variance = w'Cov w (peers only, w=0.25 each)</t>
  </si>
  <si>
    <t xml:space="preserve">Basket Volatility (Std Dev)</t>
  </si>
  <si>
    <t xml:space="preserve">Cov(NKE, Basket)</t>
  </si>
  <si>
    <t xml:space="preserve">TWO-ASSET EFFICIENT FRONTIER  (w = weight on NKE, 1-w on Peer Basket)</t>
  </si>
  <si>
    <t xml:space="preserve">Weight NKE</t>
  </si>
  <si>
    <t xml:space="preserve">Weight Basket</t>
  </si>
  <si>
    <t xml:space="preserve">Portfolio Return</t>
  </si>
  <si>
    <t xml:space="preserve">Portfolio Variance</t>
  </si>
  <si>
    <t xml:space="preserve">Portfolio Std Dev</t>
  </si>
  <si>
    <t xml:space="preserve">Sharpe Ratio</t>
  </si>
  <si>
    <t xml:space="preserve">Closed-form min-variance weight on NKE:</t>
  </si>
  <si>
    <t xml:space="preserve">(w* = [Var(Basket) - Cov(NKE,Basket)] / [Var(NKE)+Var(Basket)-2xCov])</t>
  </si>
  <si>
    <t xml:space="preserve">Note: This is a two-asset closed-form Markowitz frontier (NKE vs. an equal-weighted peer basket),</t>
  </si>
  <si>
    <t xml:space="preserve">not a full n-asset quadratic optimization. Correlations are sector-based estimates, not derived</t>
  </si>
  <si>
    <t xml:space="preserve">from a daily return covariance matrix (which would require a market-data API/terminal beyond web search).</t>
  </si>
  <si>
    <t xml:space="preserve">Betas: Yahoo/Google Finance (NKE, LULU, DECK). ADDYY/ONON betas and all volatilities are reasoned</t>
  </si>
  <si>
    <t xml:space="preserve">estimates consistent with each company's size, growth profile, and public volatility commentary.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</si>
</sst>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#,##0;\(#,##0\);\-"/>
    <numFmt numFmtId="167" formatCode="\$#,##0;&quot;($&quot;#,##0\);\-"/>
    <numFmt numFmtId="168" formatCode="0.00"/>
    <numFmt numFmtId="169" formatCode="0.0%;\(0.0%\);\-"/>
    <numFmt numFmtId="170" formatCode="0.000"/>
    <numFmt numFmtId="171" formatCode="0.0\x"/>
    <numFmt numFmtId="172" formatCode="0.0000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937"/>
      <name val="Arial"/>
      <family val="0"/>
      <charset val="1"/>
    </font>
    <font>
      <i val="true"/>
      <sz val="12"/>
      <color rgb="FF44444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9"/>
      <name val="Cambria"/>
      <family val="0"/>
      <charset val="1"/>
    </font>
    <font>
      <b val="true"/>
      <sz val="9"/>
      <color rgb="FF000000"/>
      <name val="Cambria"/>
      <family val="0"/>
      <charset val="1"/>
    </font>
    <font>
      <i val="true"/>
      <sz val="8"/>
      <color rgb="FF666666"/>
      <name val="Cambria"/>
      <family val="0"/>
      <charset val="1"/>
    </font>
    <font>
      <i val="true"/>
      <sz val="8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878787"/>
      <rgbColor rgb="FF003366"/>
      <rgbColor rgb="FF339966"/>
      <rgbColor rgb="FF003300"/>
      <rgbColor rgb="FF444444"/>
      <rgbColor rgb="FF993300"/>
      <rgbColor rgb="FF555555"/>
      <rgbColor rgb="FF2E539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Efficient Frontier: Return vs. Risk (NKE / Peer Basket blend)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'Portfolio Optimization'!D36</c:f>
              <c:strCache>
                <c:ptCount val="1"/>
                <c:pt idx="0">
                  <c:v>Portfolio Return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'Portfolio Optimization'!$F$37:$F$47</c:f>
              <c:strCache>
                <c:ptCount val="11"/>
                <c:pt idx="0">
                  <c:v>29.2%</c:v>
                </c:pt>
                <c:pt idx="1">
                  <c:v>28.6%</c:v>
                </c:pt>
                <c:pt idx="2">
                  <c:v>28.2%</c:v>
                </c:pt>
                <c:pt idx="3">
                  <c:v>28.1%</c:v>
                </c:pt>
                <c:pt idx="4">
                  <c:v>28.1%</c:v>
                </c:pt>
                <c:pt idx="5">
                  <c:v>28.4%</c:v>
                </c:pt>
                <c:pt idx="6">
                  <c:v>28.9%</c:v>
                </c:pt>
                <c:pt idx="7">
                  <c:v>29.6%</c:v>
                </c:pt>
                <c:pt idx="8">
                  <c:v>30.4%</c:v>
                </c:pt>
                <c:pt idx="9">
                  <c:v>31.5%</c:v>
                </c:pt>
                <c:pt idx="10">
                  <c:v>32.7%</c:v>
                </c:pt>
              </c:strCache>
            </c:strRef>
          </c:cat>
          <c:val>
            <c:numRef>
              <c:f>'Portfolio Optimization'!$D$37:$D$47</c:f>
              <c:numCache>
                <c:formatCode>0.0%;\(0.0%\);\-</c:formatCode>
                <c:ptCount val="11"/>
                <c:pt idx="0">
                  <c:v>0.100275</c:v>
                </c:pt>
                <c:pt idx="1">
                  <c:v>0.1003875</c:v>
                </c:pt>
                <c:pt idx="2">
                  <c:v>0.1005</c:v>
                </c:pt>
                <c:pt idx="3">
                  <c:v>0.1006125</c:v>
                </c:pt>
                <c:pt idx="4">
                  <c:v>0.100725</c:v>
                </c:pt>
                <c:pt idx="5">
                  <c:v>0.1008375</c:v>
                </c:pt>
                <c:pt idx="6">
                  <c:v>0.10095</c:v>
                </c:pt>
                <c:pt idx="7">
                  <c:v>0.1010625</c:v>
                </c:pt>
                <c:pt idx="8">
                  <c:v>0.101175</c:v>
                </c:pt>
                <c:pt idx="9">
                  <c:v>0.1012875</c:v>
                </c:pt>
                <c:pt idx="10">
                  <c:v>0.1014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847323"/>
        <c:axId val="9482182"/>
      </c:lineChart>
      <c:catAx>
        <c:axId val="928473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Portfolio Std Dev (Risk)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2182"/>
        <c:crosses val="autoZero"/>
        <c:auto val="1"/>
        <c:lblAlgn val="ctr"/>
        <c:lblOffset val="100"/>
        <c:noMultiLvlLbl val="0"/>
      </c:catAx>
      <c:valAx>
        <c:axId val="94821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Expected 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;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473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48</xdr:row>
      <xdr:rowOff>13680</xdr:rowOff>
    </xdr:from>
    <xdr:to>
      <xdr:col>7</xdr:col>
      <xdr:colOff>191520</xdr:colOff>
      <xdr:row>63</xdr:row>
      <xdr:rowOff>36000</xdr:rowOff>
    </xdr:to>
    <xdr:graphicFrame>
      <xdr:nvGraphicFramePr>
        <xdr:cNvPr id="0" name="Chart 1"/>
        <xdr:cNvGraphicFramePr/>
      </xdr:nvGraphicFramePr>
      <xdr:xfrm>
        <a:off x="141120" y="9524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937"/>
    <pageSetUpPr fitToPage="false"/>
  </sheetPr>
  <dimension ref="B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6" min="3" style="0" width="24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4"/>
      <c r="D6" s="4"/>
      <c r="E6" s="4"/>
      <c r="F6" s="4"/>
    </row>
    <row r="7" customFormat="false" ht="15" hidden="false" customHeight="false" outlineLevel="0" collapsed="false">
      <c r="B7" s="5" t="s">
        <v>4</v>
      </c>
      <c r="C7" s="6" t="s">
        <v>5</v>
      </c>
      <c r="D7" s="6"/>
      <c r="E7" s="6"/>
      <c r="F7" s="6"/>
    </row>
    <row r="8" customFormat="false" ht="15" hidden="false" customHeight="false" outlineLevel="0" collapsed="false">
      <c r="B8" s="5" t="s">
        <v>6</v>
      </c>
      <c r="C8" s="6" t="s">
        <v>7</v>
      </c>
      <c r="D8" s="6"/>
      <c r="E8" s="6"/>
      <c r="F8" s="6"/>
    </row>
    <row r="9" customFormat="false" ht="15" hidden="false" customHeight="false" outlineLevel="0" collapsed="false">
      <c r="B9" s="5" t="s">
        <v>8</v>
      </c>
      <c r="C9" s="6" t="s">
        <v>9</v>
      </c>
      <c r="D9" s="6"/>
      <c r="E9" s="6"/>
      <c r="F9" s="6"/>
    </row>
    <row r="10" customFormat="false" ht="15" hidden="false" customHeight="false" outlineLevel="0" collapsed="false">
      <c r="B10" s="5" t="s">
        <v>10</v>
      </c>
      <c r="C10" s="6" t="s">
        <v>11</v>
      </c>
      <c r="D10" s="6"/>
      <c r="E10" s="6"/>
      <c r="F10" s="6"/>
    </row>
    <row r="11" customFormat="false" ht="15" hidden="false" customHeight="false" outlineLevel="0" collapsed="false">
      <c r="B11" s="5" t="s">
        <v>12</v>
      </c>
      <c r="C11" s="6" t="s">
        <v>13</v>
      </c>
      <c r="D11" s="6"/>
      <c r="E11" s="6"/>
      <c r="F11" s="6"/>
    </row>
    <row r="13" customFormat="false" ht="15" hidden="false" customHeight="false" outlineLevel="0" collapsed="false">
      <c r="B13" s="4" t="s">
        <v>14</v>
      </c>
      <c r="C13" s="4"/>
      <c r="D13" s="4"/>
      <c r="E13" s="4"/>
      <c r="F13" s="4"/>
    </row>
    <row r="14" customFormat="false" ht="15" hidden="false" customHeight="false" outlineLevel="0" collapsed="false">
      <c r="B14" s="7" t="s">
        <v>15</v>
      </c>
      <c r="C14" s="8" t="n">
        <v>44.09</v>
      </c>
    </row>
    <row r="15" customFormat="false" ht="15" hidden="false" customHeight="false" outlineLevel="0" collapsed="false">
      <c r="B15" s="7" t="s">
        <v>16</v>
      </c>
      <c r="C15" s="9" t="n">
        <v>1481</v>
      </c>
    </row>
    <row r="16" customFormat="false" ht="15" hidden="false" customHeight="false" outlineLevel="0" collapsed="false">
      <c r="B16" s="7" t="s">
        <v>17</v>
      </c>
      <c r="C16" s="10" t="n">
        <f aca="false">C14*C15</f>
        <v>65297.29</v>
      </c>
    </row>
    <row r="17" customFormat="false" ht="15" hidden="false" customHeight="false" outlineLevel="0" collapsed="false">
      <c r="B17" s="7" t="s">
        <v>18</v>
      </c>
      <c r="C17" s="11" t="n">
        <v>1.13</v>
      </c>
    </row>
    <row r="18" customFormat="false" ht="15" hidden="false" customHeight="false" outlineLevel="0" collapsed="false">
      <c r="B18" s="7" t="s">
        <v>19</v>
      </c>
      <c r="C18" s="12" t="s">
        <v>20</v>
      </c>
    </row>
    <row r="19" customFormat="false" ht="15" hidden="false" customHeight="false" outlineLevel="0" collapsed="false">
      <c r="B19" s="7" t="s">
        <v>21</v>
      </c>
      <c r="C19" s="13" t="n">
        <v>0.0449</v>
      </c>
    </row>
    <row r="21" customFormat="false" ht="15" hidden="false" customHeight="false" outlineLevel="0" collapsed="false">
      <c r="B21" s="14" t="s">
        <v>22</v>
      </c>
    </row>
    <row r="22" customFormat="false" ht="15" hidden="false" customHeight="false" outlineLevel="0" collapsed="false">
      <c r="B22" s="14" t="s">
        <v>23</v>
      </c>
    </row>
    <row r="23" customFormat="false" ht="15" hidden="false" customHeight="false" outlineLevel="0" collapsed="false">
      <c r="B23" s="14" t="s">
        <v>24</v>
      </c>
    </row>
  </sheetData>
  <mergeCells count="5">
    <mergeCell ref="C7:F7"/>
    <mergeCell ref="C8:F8"/>
    <mergeCell ref="C9:F9"/>
    <mergeCell ref="C10:F10"/>
    <mergeCell ref="C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B2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40"/>
  </cols>
  <sheetData>
    <row r="2" customFormat="false" ht="15" hidden="false" customHeight="false" outlineLevel="0" collapsed="false">
      <c r="B2" s="15" t="s">
        <v>25</v>
      </c>
      <c r="C2" s="15"/>
      <c r="D2" s="15"/>
      <c r="E2" s="15"/>
      <c r="F2" s="15"/>
      <c r="G2" s="15"/>
    </row>
    <row r="3" customFormat="false" ht="15" hidden="false" customHeight="false" outlineLevel="0" collapsed="false">
      <c r="C3" s="16" t="s">
        <v>26</v>
      </c>
      <c r="D3" s="16" t="s">
        <v>27</v>
      </c>
      <c r="E3" s="16" t="s">
        <v>28</v>
      </c>
      <c r="F3" s="16" t="s">
        <v>29</v>
      </c>
      <c r="G3" s="16" t="s">
        <v>30</v>
      </c>
    </row>
    <row r="4" customFormat="false" ht="15" hidden="false" customHeight="false" outlineLevel="0" collapsed="false">
      <c r="B4" s="12" t="s">
        <v>31</v>
      </c>
      <c r="C4" s="17" t="n">
        <v>44538</v>
      </c>
      <c r="D4" s="17" t="n">
        <v>46710</v>
      </c>
      <c r="E4" s="17" t="n">
        <v>51217</v>
      </c>
      <c r="F4" s="17" t="n">
        <v>51362</v>
      </c>
      <c r="G4" s="17" t="n">
        <v>46309</v>
      </c>
      <c r="I4" s="14" t="s">
        <v>32</v>
      </c>
    </row>
    <row r="5" customFormat="false" ht="15" hidden="false" customHeight="false" outlineLevel="0" collapsed="false">
      <c r="B5" s="12" t="s">
        <v>33</v>
      </c>
      <c r="C5" s="17" t="n">
        <v>-24576</v>
      </c>
      <c r="D5" s="17" t="n">
        <v>-25231</v>
      </c>
      <c r="E5" s="17" t="n">
        <v>-28925</v>
      </c>
      <c r="F5" s="17" t="n">
        <v>-28475</v>
      </c>
      <c r="G5" s="17" t="n">
        <v>-26519</v>
      </c>
      <c r="I5" s="14" t="s">
        <v>34</v>
      </c>
    </row>
    <row r="6" customFormat="false" ht="15" hidden="false" customHeight="false" outlineLevel="0" collapsed="false">
      <c r="B6" s="5" t="s">
        <v>35</v>
      </c>
      <c r="C6" s="10" t="n">
        <f aca="false">C4+C5</f>
        <v>19962</v>
      </c>
      <c r="D6" s="10" t="n">
        <f aca="false">D4+D5</f>
        <v>21479</v>
      </c>
      <c r="E6" s="10" t="n">
        <f aca="false">E4+E5</f>
        <v>22292</v>
      </c>
      <c r="F6" s="10" t="n">
        <f aca="false">F4+F5</f>
        <v>22887</v>
      </c>
      <c r="G6" s="10" t="n">
        <f aca="false">G4+G5</f>
        <v>19790</v>
      </c>
      <c r="I6" s="14" t="s">
        <v>36</v>
      </c>
    </row>
    <row r="7" customFormat="false" ht="15" hidden="false" customHeight="false" outlineLevel="0" collapsed="false">
      <c r="B7" s="18" t="s">
        <v>37</v>
      </c>
      <c r="C7" s="19" t="n">
        <f aca="false">C6/C4</f>
        <v>0.44820153576721</v>
      </c>
      <c r="D7" s="19" t="n">
        <f aca="false">D6/D4</f>
        <v>0.45983729394134</v>
      </c>
      <c r="E7" s="19" t="n">
        <f aca="false">E6/E4</f>
        <v>0.435246109690142</v>
      </c>
      <c r="F7" s="19" t="n">
        <f aca="false">F6/F4</f>
        <v>0.445601806783225</v>
      </c>
      <c r="G7" s="19" t="n">
        <f aca="false">G6/G4</f>
        <v>0.427346736055626</v>
      </c>
    </row>
    <row r="8" customFormat="false" ht="15" hidden="false" customHeight="false" outlineLevel="0" collapsed="false">
      <c r="B8" s="12" t="s">
        <v>38</v>
      </c>
      <c r="C8" s="17" t="n">
        <v>-3114</v>
      </c>
      <c r="D8" s="17" t="n">
        <v>-3850</v>
      </c>
      <c r="E8" s="17" t="n">
        <v>-4060</v>
      </c>
      <c r="F8" s="17" t="n">
        <v>-4285</v>
      </c>
      <c r="G8" s="17" t="n">
        <v>-4689</v>
      </c>
    </row>
    <row r="9" customFormat="false" ht="15" hidden="false" customHeight="false" outlineLevel="0" collapsed="false">
      <c r="B9" s="12" t="s">
        <v>39</v>
      </c>
      <c r="C9" s="17" t="n">
        <v>-9911</v>
      </c>
      <c r="D9" s="17" t="n">
        <v>-10954</v>
      </c>
      <c r="E9" s="17" t="n">
        <v>-12317</v>
      </c>
      <c r="F9" s="17" t="n">
        <v>-12291</v>
      </c>
      <c r="G9" s="17" t="n">
        <v>-11399</v>
      </c>
    </row>
    <row r="10" customFormat="false" ht="15" hidden="false" customHeight="false" outlineLevel="0" collapsed="false">
      <c r="B10" s="5" t="s">
        <v>40</v>
      </c>
      <c r="C10" s="10" t="n">
        <f aca="false">C6+C8+C9</f>
        <v>6937</v>
      </c>
      <c r="D10" s="10" t="n">
        <f aca="false">D6+D8+D9</f>
        <v>6675</v>
      </c>
      <c r="E10" s="10" t="n">
        <f aca="false">E6+E8+E9</f>
        <v>5915</v>
      </c>
      <c r="F10" s="10" t="n">
        <f aca="false">F6+F8+F9</f>
        <v>6311</v>
      </c>
      <c r="G10" s="10" t="n">
        <f aca="false">G6+G8+G9</f>
        <v>3702</v>
      </c>
    </row>
    <row r="11" customFormat="false" ht="15" hidden="false" customHeight="false" outlineLevel="0" collapsed="false">
      <c r="B11" s="18" t="s">
        <v>41</v>
      </c>
      <c r="C11" s="19" t="n">
        <f aca="false">C10/C4</f>
        <v>0.155754636490188</v>
      </c>
      <c r="D11" s="19" t="n">
        <f aca="false">D10/D4</f>
        <v>0.142903018625562</v>
      </c>
      <c r="E11" s="19" t="n">
        <f aca="false">E10/E4</f>
        <v>0.115488997793701</v>
      </c>
      <c r="F11" s="19" t="n">
        <f aca="false">F10/F4</f>
        <v>0.122872941084849</v>
      </c>
      <c r="G11" s="19" t="n">
        <f aca="false">G10/G4</f>
        <v>0.0799412641171263</v>
      </c>
    </row>
    <row r="12" customFormat="false" ht="15" hidden="false" customHeight="false" outlineLevel="0" collapsed="false">
      <c r="B12" s="12" t="s">
        <v>42</v>
      </c>
      <c r="C12" s="17" t="n">
        <v>-262</v>
      </c>
      <c r="D12" s="17" t="n">
        <v>-205</v>
      </c>
      <c r="E12" s="17" t="n">
        <v>6</v>
      </c>
      <c r="F12" s="17" t="n">
        <v>161</v>
      </c>
      <c r="G12" s="17" t="n">
        <v>107</v>
      </c>
    </row>
    <row r="13" customFormat="false" ht="15" hidden="false" customHeight="false" outlineLevel="0" collapsed="false">
      <c r="B13" s="12" t="s">
        <v>43</v>
      </c>
      <c r="C13" s="17" t="n">
        <v>-14</v>
      </c>
      <c r="D13" s="17" t="n">
        <v>181</v>
      </c>
      <c r="E13" s="17" t="n">
        <v>280</v>
      </c>
      <c r="F13" s="17" t="n">
        <v>228</v>
      </c>
      <c r="G13" s="17" t="n">
        <v>76</v>
      </c>
    </row>
    <row r="14" customFormat="false" ht="15" hidden="false" customHeight="false" outlineLevel="0" collapsed="false">
      <c r="B14" s="5" t="s">
        <v>44</v>
      </c>
      <c r="C14" s="10" t="n">
        <f aca="false">C10+C12+C13</f>
        <v>6661</v>
      </c>
      <c r="D14" s="10" t="n">
        <f aca="false">D10+D12+D13</f>
        <v>6651</v>
      </c>
      <c r="E14" s="10" t="n">
        <f aca="false">E10+E12+E13</f>
        <v>6201</v>
      </c>
      <c r="F14" s="10" t="n">
        <f aca="false">F10+F12+F13</f>
        <v>6700</v>
      </c>
      <c r="G14" s="10" t="n">
        <f aca="false">G10+G12+G13</f>
        <v>3885</v>
      </c>
    </row>
    <row r="15" customFormat="false" ht="15" hidden="false" customHeight="false" outlineLevel="0" collapsed="false">
      <c r="B15" s="12" t="s">
        <v>45</v>
      </c>
      <c r="C15" s="17" t="n">
        <v>-934</v>
      </c>
      <c r="D15" s="17" t="n">
        <v>-605</v>
      </c>
      <c r="E15" s="17" t="n">
        <v>-1131</v>
      </c>
      <c r="F15" s="17" t="n">
        <v>-1000</v>
      </c>
      <c r="G15" s="17" t="n">
        <v>-666</v>
      </c>
    </row>
    <row r="16" customFormat="false" ht="15" hidden="false" customHeight="false" outlineLevel="0" collapsed="false">
      <c r="B16" s="18" t="s">
        <v>46</v>
      </c>
      <c r="C16" s="19" t="n">
        <f aca="false">-C15/C14</f>
        <v>0.140219186308362</v>
      </c>
      <c r="D16" s="19" t="n">
        <f aca="false">-D15/D14</f>
        <v>0.0909637648473914</v>
      </c>
      <c r="E16" s="19" t="n">
        <f aca="false">-E15/E14</f>
        <v>0.182389937106918</v>
      </c>
      <c r="F16" s="19" t="n">
        <f aca="false">-F15/F14</f>
        <v>0.149253731343284</v>
      </c>
      <c r="G16" s="19" t="n">
        <f aca="false">-G15/G14</f>
        <v>0.171428571428571</v>
      </c>
    </row>
    <row r="17" customFormat="false" ht="15" hidden="false" customHeight="false" outlineLevel="0" collapsed="false">
      <c r="B17" s="20" t="s">
        <v>47</v>
      </c>
      <c r="C17" s="21" t="n">
        <f aca="false">C14+C15</f>
        <v>5727</v>
      </c>
      <c r="D17" s="21" t="n">
        <f aca="false">D14+D15</f>
        <v>6046</v>
      </c>
      <c r="E17" s="21" t="n">
        <f aca="false">E14+E15</f>
        <v>5070</v>
      </c>
      <c r="F17" s="21" t="n">
        <f aca="false">F14+F15</f>
        <v>5700</v>
      </c>
      <c r="G17" s="21" t="n">
        <f aca="false">G14+G15</f>
        <v>3219</v>
      </c>
    </row>
    <row r="18" customFormat="false" ht="15" hidden="false" customHeight="false" outlineLevel="0" collapsed="false">
      <c r="B18" s="18" t="s">
        <v>48</v>
      </c>
      <c r="C18" s="19" t="n">
        <f aca="false">C17/C4</f>
        <v>0.128586824733935</v>
      </c>
      <c r="D18" s="19" t="n">
        <f aca="false">D17/D4</f>
        <v>0.129436951402269</v>
      </c>
      <c r="E18" s="19" t="n">
        <f aca="false">E17/E4</f>
        <v>0.0989905695374583</v>
      </c>
      <c r="F18" s="19" t="n">
        <f aca="false">F17/F4</f>
        <v>0.110976986877458</v>
      </c>
      <c r="G18" s="19" t="n">
        <f aca="false">G17/G4</f>
        <v>0.0695113260921203</v>
      </c>
    </row>
    <row r="20" customFormat="false" ht="15" hidden="false" customHeight="false" outlineLevel="0" collapsed="false">
      <c r="B20" s="12" t="s">
        <v>49</v>
      </c>
      <c r="C20" s="17" t="n">
        <v>1615</v>
      </c>
      <c r="D20" s="17" t="n">
        <v>1578</v>
      </c>
      <c r="E20" s="17" t="n">
        <v>1553</v>
      </c>
      <c r="F20" s="17" t="n">
        <v>1519</v>
      </c>
      <c r="G20" s="17" t="n">
        <v>1479</v>
      </c>
    </row>
    <row r="21" customFormat="false" ht="15" hidden="false" customHeight="false" outlineLevel="0" collapsed="false">
      <c r="B21" s="5" t="s">
        <v>50</v>
      </c>
      <c r="C21" s="22" t="n">
        <f aca="false">C17/C20</f>
        <v>3.54613003095975</v>
      </c>
      <c r="D21" s="22" t="n">
        <f aca="false">D17/D20</f>
        <v>3.83143219264892</v>
      </c>
      <c r="E21" s="22" t="n">
        <f aca="false">E17/E20</f>
        <v>3.26464906632325</v>
      </c>
      <c r="F21" s="22" t="n">
        <f aca="false">F17/F20</f>
        <v>3.75246872942726</v>
      </c>
      <c r="G21" s="22" t="n">
        <f aca="false">G17/G20</f>
        <v>2.17647058823529</v>
      </c>
    </row>
    <row r="23" customFormat="false" ht="15" hidden="false" customHeight="false" outlineLevel="0" collapsed="false">
      <c r="B23" s="23" t="s">
        <v>51</v>
      </c>
      <c r="C23" s="24" t="n">
        <f aca="false">C4*($F$23/$F$4)</f>
        <v>690.242747556559</v>
      </c>
      <c r="D23" s="24" t="n">
        <f aca="false">D4*($F$23/$F$4)</f>
        <v>723.904053580468</v>
      </c>
      <c r="E23" s="24" t="n">
        <f aca="false">E4*($F$23/$F$4)</f>
        <v>793.752813363966</v>
      </c>
      <c r="F23" s="17" t="n">
        <v>796</v>
      </c>
      <c r="G23" s="24" t="n">
        <f aca="false">G4*($F$23/$F$4)</f>
        <v>717.689420193918</v>
      </c>
    </row>
    <row r="24" customFormat="false" ht="15" hidden="false" customHeight="false" outlineLevel="0" collapsed="false">
      <c r="B24" s="5" t="s">
        <v>52</v>
      </c>
      <c r="C24" s="10" t="n">
        <f aca="false">C10+C23</f>
        <v>7627.24274755656</v>
      </c>
      <c r="D24" s="10" t="n">
        <f aca="false">D10+D23</f>
        <v>7398.90405358047</v>
      </c>
      <c r="E24" s="10" t="n">
        <f aca="false">E10+E23</f>
        <v>6708.75281336397</v>
      </c>
      <c r="F24" s="10" t="n">
        <f aca="false">F10+F23</f>
        <v>7107</v>
      </c>
      <c r="G24" s="10" t="n">
        <f aca="false">G10+G23</f>
        <v>4419.68942019392</v>
      </c>
    </row>
    <row r="26" customFormat="false" ht="15" hidden="false" customHeight="false" outlineLevel="0" collapsed="false">
      <c r="B26" s="15" t="s">
        <v>53</v>
      </c>
      <c r="C26" s="15"/>
      <c r="D26" s="15"/>
      <c r="E26" s="15"/>
      <c r="F26" s="15"/>
      <c r="G26" s="15"/>
    </row>
    <row r="27" customFormat="false" ht="15" hidden="false" customHeight="false" outlineLevel="0" collapsed="false">
      <c r="D27" s="16" t="s">
        <v>27</v>
      </c>
      <c r="E27" s="16" t="s">
        <v>28</v>
      </c>
      <c r="F27" s="16" t="s">
        <v>29</v>
      </c>
      <c r="G27" s="16" t="s">
        <v>30</v>
      </c>
    </row>
    <row r="28" customFormat="false" ht="15" hidden="false" customHeight="false" outlineLevel="0" collapsed="false">
      <c r="B28" s="23" t="s">
        <v>54</v>
      </c>
      <c r="D28" s="17" t="n">
        <v>5188</v>
      </c>
      <c r="E28" s="17" t="n">
        <v>5841</v>
      </c>
      <c r="F28" s="17" t="n">
        <v>7429</v>
      </c>
      <c r="G28" s="17" t="n">
        <v>3698</v>
      </c>
    </row>
    <row r="29" customFormat="false" ht="15" hidden="false" customHeight="false" outlineLevel="0" collapsed="false">
      <c r="B29" s="23" t="s">
        <v>55</v>
      </c>
      <c r="D29" s="17" t="n">
        <v>-758</v>
      </c>
      <c r="E29" s="17" t="n">
        <v>-969</v>
      </c>
      <c r="F29" s="17" t="n">
        <v>-812</v>
      </c>
      <c r="G29" s="17" t="n">
        <v>-430</v>
      </c>
    </row>
    <row r="30" customFormat="false" ht="15" hidden="false" customHeight="false" outlineLevel="0" collapsed="false">
      <c r="B30" s="20" t="s">
        <v>56</v>
      </c>
      <c r="D30" s="21" t="n">
        <f aca="false">D28+D29</f>
        <v>4430</v>
      </c>
      <c r="E30" s="21" t="n">
        <f aca="false">E28+E29</f>
        <v>4872</v>
      </c>
      <c r="F30" s="21" t="n">
        <f aca="false">F28+F29</f>
        <v>6617</v>
      </c>
      <c r="G30" s="21" t="n">
        <f aca="false">G28+G29</f>
        <v>3268</v>
      </c>
    </row>
  </sheetData>
  <mergeCells count="2">
    <mergeCell ref="B2:G2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B2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46"/>
  </cols>
  <sheetData>
    <row r="2" customFormat="false" ht="15" hidden="false" customHeight="false" outlineLevel="0" collapsed="false">
      <c r="B2" s="4" t="s">
        <v>57</v>
      </c>
      <c r="C2" s="4"/>
    </row>
    <row r="4" customFormat="false" ht="15" hidden="false" customHeight="false" outlineLevel="0" collapsed="false">
      <c r="B4" s="7" t="s">
        <v>58</v>
      </c>
      <c r="C4" s="25" t="n">
        <f aca="false">Cover!$C$19</f>
        <v>0.0449</v>
      </c>
    </row>
    <row r="5" customFormat="false" ht="15" hidden="false" customHeight="false" outlineLevel="0" collapsed="false">
      <c r="B5" s="7" t="s">
        <v>59</v>
      </c>
      <c r="C5" s="13" t="n">
        <v>0.05</v>
      </c>
    </row>
    <row r="6" customFormat="false" ht="15" hidden="false" customHeight="false" outlineLevel="0" collapsed="false">
      <c r="B6" s="7" t="s">
        <v>60</v>
      </c>
      <c r="C6" s="26" t="n">
        <f aca="false">Cover!$C$17</f>
        <v>1.13</v>
      </c>
    </row>
    <row r="7" customFormat="false" ht="15" hidden="false" customHeight="false" outlineLevel="0" collapsed="false">
      <c r="B7" s="27" t="s">
        <v>61</v>
      </c>
      <c r="C7" s="28" t="n">
        <f aca="false">C4+C6*C5</f>
        <v>0.1014</v>
      </c>
    </row>
    <row r="9" customFormat="false" ht="15" hidden="false" customHeight="false" outlineLevel="0" collapsed="false">
      <c r="B9" s="4" t="s">
        <v>62</v>
      </c>
      <c r="C9" s="4"/>
    </row>
    <row r="10" customFormat="false" ht="15" hidden="false" customHeight="false" outlineLevel="0" collapsed="false">
      <c r="B10" s="7" t="s">
        <v>63</v>
      </c>
      <c r="C10" s="29" t="n">
        <v>7966</v>
      </c>
    </row>
    <row r="11" customFormat="false" ht="15" hidden="false" customHeight="false" outlineLevel="0" collapsed="false">
      <c r="B11" s="7" t="s">
        <v>64</v>
      </c>
      <c r="C11" s="29" t="n">
        <v>297</v>
      </c>
    </row>
    <row r="12" customFormat="false" ht="15" hidden="false" customHeight="false" outlineLevel="0" collapsed="false">
      <c r="B12" s="23" t="s">
        <v>65</v>
      </c>
      <c r="C12" s="30" t="n">
        <f aca="false">C11/C10</f>
        <v>0.0372834546824002</v>
      </c>
    </row>
    <row r="13" customFormat="false" ht="15" hidden="false" customHeight="false" outlineLevel="0" collapsed="false">
      <c r="B13" s="7" t="s">
        <v>66</v>
      </c>
      <c r="C13" s="25" t="n">
        <f aca="false">AVERAGE('Historical FS'!E16:G16)</f>
        <v>0.167690746626258</v>
      </c>
    </row>
    <row r="14" customFormat="false" ht="15" hidden="false" customHeight="false" outlineLevel="0" collapsed="false">
      <c r="B14" s="27" t="s">
        <v>67</v>
      </c>
      <c r="C14" s="28" t="n">
        <f aca="false">C12*(1-C13)</f>
        <v>0.0310313643299023</v>
      </c>
    </row>
    <row r="16" customFormat="false" ht="15" hidden="false" customHeight="false" outlineLevel="0" collapsed="false">
      <c r="B16" s="4" t="s">
        <v>68</v>
      </c>
      <c r="C16" s="4"/>
    </row>
    <row r="17" customFormat="false" ht="15" hidden="false" customHeight="false" outlineLevel="0" collapsed="false">
      <c r="B17" s="7" t="s">
        <v>69</v>
      </c>
      <c r="C17" s="31" t="n">
        <f aca="false">Cover!$C$16</f>
        <v>65297.29</v>
      </c>
    </row>
    <row r="18" customFormat="false" ht="15" hidden="false" customHeight="false" outlineLevel="0" collapsed="false">
      <c r="B18" s="7" t="s">
        <v>70</v>
      </c>
      <c r="C18" s="31" t="n">
        <f aca="false">C10</f>
        <v>7966</v>
      </c>
    </row>
    <row r="19" customFormat="false" ht="15" hidden="false" customHeight="false" outlineLevel="0" collapsed="false">
      <c r="B19" s="7" t="s">
        <v>71</v>
      </c>
      <c r="C19" s="32" t="n">
        <f aca="false">C17+C18</f>
        <v>73263.29</v>
      </c>
    </row>
    <row r="20" customFormat="false" ht="15" hidden="false" customHeight="false" outlineLevel="0" collapsed="false">
      <c r="B20" s="7" t="s">
        <v>72</v>
      </c>
      <c r="C20" s="30" t="n">
        <f aca="false">C17/C19</f>
        <v>0.891268874220636</v>
      </c>
    </row>
    <row r="21" customFormat="false" ht="15" hidden="false" customHeight="false" outlineLevel="0" collapsed="false">
      <c r="B21" s="7" t="s">
        <v>73</v>
      </c>
      <c r="C21" s="30" t="n">
        <f aca="false">C18/C19</f>
        <v>0.108731125779364</v>
      </c>
    </row>
    <row r="23" customFormat="false" ht="15" hidden="false" customHeight="false" outlineLevel="0" collapsed="false">
      <c r="B23" s="33" t="s">
        <v>74</v>
      </c>
      <c r="C23" s="34" t="n">
        <f aca="false">C20*C7+C21*C14</f>
        <v>0.0937487390240324</v>
      </c>
    </row>
    <row r="25" customFormat="false" ht="15" hidden="false" customHeight="false" outlineLevel="0" collapsed="false">
      <c r="B25" s="14" t="s">
        <v>75</v>
      </c>
    </row>
    <row r="26" customFormat="false" ht="15" hidden="false" customHeight="false" outlineLevel="0" collapsed="false">
      <c r="B26" s="14" t="s">
        <v>76</v>
      </c>
    </row>
    <row r="27" customFormat="false" ht="15" hidden="false" customHeight="false" outlineLevel="0" collapsed="false">
      <c r="B27" s="14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2:H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8" min="3" style="0" width="13"/>
    <col collapsed="false" customWidth="true" hidden="false" outlineLevel="0" max="9" min="9" style="0" width="4"/>
    <col collapsed="false" customWidth="true" hidden="false" outlineLevel="0" max="10" min="10" style="0" width="42"/>
  </cols>
  <sheetData>
    <row r="2" customFormat="false" ht="15" hidden="false" customHeight="false" outlineLevel="0" collapsed="false">
      <c r="B2" s="15" t="s">
        <v>78</v>
      </c>
      <c r="C2" s="15"/>
      <c r="D2" s="15"/>
      <c r="E2" s="15"/>
      <c r="F2" s="15"/>
      <c r="G2" s="15"/>
      <c r="H2" s="15"/>
    </row>
    <row r="3" customFormat="false" ht="15" hidden="false" customHeight="false" outlineLevel="0" collapsed="false">
      <c r="C3" s="16" t="s">
        <v>79</v>
      </c>
      <c r="D3" s="16" t="s">
        <v>80</v>
      </c>
      <c r="E3" s="16" t="s">
        <v>81</v>
      </c>
      <c r="F3" s="16" t="s">
        <v>82</v>
      </c>
      <c r="G3" s="16" t="s">
        <v>83</v>
      </c>
      <c r="H3" s="16" t="s">
        <v>84</v>
      </c>
    </row>
    <row r="4" customFormat="false" ht="15" hidden="false" customHeight="false" outlineLevel="0" collapsed="false">
      <c r="B4" s="4" t="s">
        <v>85</v>
      </c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B5" s="7" t="s">
        <v>86</v>
      </c>
      <c r="C5" s="35" t="s">
        <v>87</v>
      </c>
      <c r="D5" s="13" t="n">
        <v>0.01</v>
      </c>
      <c r="E5" s="13" t="n">
        <v>0.03</v>
      </c>
      <c r="F5" s="13" t="n">
        <v>0.04</v>
      </c>
      <c r="G5" s="13" t="n">
        <v>0.04</v>
      </c>
      <c r="H5" s="13" t="n">
        <v>0.04</v>
      </c>
    </row>
    <row r="6" customFormat="false" ht="15" hidden="false" customHeight="false" outlineLevel="0" collapsed="false">
      <c r="B6" s="7" t="s">
        <v>88</v>
      </c>
      <c r="C6" s="25" t="n">
        <f aca="false">'Historical FS'!G10/'Historical FS'!G4</f>
        <v>0.0799412641171263</v>
      </c>
      <c r="D6" s="13" t="n">
        <v>0.09</v>
      </c>
      <c r="E6" s="13" t="n">
        <v>0.1</v>
      </c>
      <c r="F6" s="13" t="n">
        <v>0.11</v>
      </c>
      <c r="G6" s="13" t="n">
        <v>0.12</v>
      </c>
      <c r="H6" s="13" t="n">
        <v>0.125</v>
      </c>
    </row>
    <row r="7" customFormat="false" ht="15" hidden="false" customHeight="false" outlineLevel="0" collapsed="false">
      <c r="B7" s="7" t="s">
        <v>89</v>
      </c>
      <c r="D7" s="25" t="n">
        <f aca="false">'CAPM &amp; WACC'!$C$13</f>
        <v>0.167690746626258</v>
      </c>
      <c r="E7" s="25" t="n">
        <f aca="false">'CAPM &amp; WACC'!$C$13</f>
        <v>0.167690746626258</v>
      </c>
      <c r="F7" s="25" t="n">
        <f aca="false">'CAPM &amp; WACC'!$C$13</f>
        <v>0.167690746626258</v>
      </c>
      <c r="G7" s="25" t="n">
        <f aca="false">'CAPM &amp; WACC'!$C$13</f>
        <v>0.167690746626258</v>
      </c>
      <c r="H7" s="25" t="n">
        <f aca="false">'CAPM &amp; WACC'!$C$13</f>
        <v>0.167690746626258</v>
      </c>
    </row>
    <row r="8" customFormat="false" ht="15" hidden="false" customHeight="false" outlineLevel="0" collapsed="false">
      <c r="B8" s="7" t="s">
        <v>90</v>
      </c>
      <c r="D8" s="13" t="n">
        <v>0.016</v>
      </c>
      <c r="E8" s="13" t="n">
        <v>0.016</v>
      </c>
      <c r="F8" s="13" t="n">
        <v>0.016</v>
      </c>
      <c r="G8" s="13" t="n">
        <v>0.016</v>
      </c>
      <c r="H8" s="13" t="n">
        <v>0.016</v>
      </c>
    </row>
    <row r="9" customFormat="false" ht="15" hidden="false" customHeight="false" outlineLevel="0" collapsed="false">
      <c r="B9" s="7" t="s">
        <v>91</v>
      </c>
      <c r="D9" s="13" t="n">
        <v>0.015</v>
      </c>
      <c r="E9" s="13" t="n">
        <v>0.015</v>
      </c>
      <c r="F9" s="13" t="n">
        <v>0.015</v>
      </c>
      <c r="G9" s="13" t="n">
        <v>0.015</v>
      </c>
      <c r="H9" s="13" t="n">
        <v>0.015</v>
      </c>
    </row>
    <row r="10" customFormat="false" ht="15" hidden="false" customHeight="false" outlineLevel="0" collapsed="false">
      <c r="B10" s="7" t="s">
        <v>92</v>
      </c>
      <c r="D10" s="13" t="n">
        <v>0.003</v>
      </c>
      <c r="E10" s="13" t="n">
        <v>0.003</v>
      </c>
      <c r="F10" s="13" t="n">
        <v>0.003</v>
      </c>
      <c r="G10" s="13" t="n">
        <v>0.003</v>
      </c>
      <c r="H10" s="13" t="n">
        <v>0.003</v>
      </c>
    </row>
    <row r="12" customFormat="false" ht="15" hidden="false" customHeight="false" outlineLevel="0" collapsed="false">
      <c r="B12" s="4" t="s">
        <v>93</v>
      </c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B13" s="36" t="s">
        <v>94</v>
      </c>
      <c r="C13" s="31" t="n">
        <f aca="false">'Historical FS'!G4</f>
        <v>46309</v>
      </c>
      <c r="D13" s="10" t="n">
        <f aca="false">C13*(1+D5)</f>
        <v>46772.09</v>
      </c>
      <c r="E13" s="10" t="n">
        <f aca="false">D13*(1+E5)</f>
        <v>48175.2527</v>
      </c>
      <c r="F13" s="10" t="n">
        <f aca="false">E13*(1+F5)</f>
        <v>50102.262808</v>
      </c>
      <c r="G13" s="10" t="n">
        <f aca="false">F13*(1+G5)</f>
        <v>52106.35332032</v>
      </c>
      <c r="H13" s="10" t="n">
        <f aca="false">G13*(1+H5)</f>
        <v>54190.6074531328</v>
      </c>
    </row>
    <row r="14" customFormat="false" ht="15" hidden="false" customHeight="false" outlineLevel="0" collapsed="false">
      <c r="B14" s="36" t="s">
        <v>95</v>
      </c>
      <c r="C14" s="10" t="n">
        <f aca="false">C13*C6</f>
        <v>3702</v>
      </c>
      <c r="D14" s="10" t="n">
        <f aca="false">D13*D6</f>
        <v>4209.4881</v>
      </c>
      <c r="E14" s="10" t="n">
        <f aca="false">E13*E6</f>
        <v>4817.52527</v>
      </c>
      <c r="F14" s="10" t="n">
        <f aca="false">F13*F6</f>
        <v>5511.24890888</v>
      </c>
      <c r="G14" s="10" t="n">
        <f aca="false">G13*G6</f>
        <v>6252.7623984384</v>
      </c>
      <c r="H14" s="10" t="n">
        <f aca="false">H13*H6</f>
        <v>6773.8259316416</v>
      </c>
    </row>
    <row r="15" customFormat="false" ht="15" hidden="false" customHeight="false" outlineLevel="0" collapsed="false">
      <c r="B15" s="7" t="s">
        <v>96</v>
      </c>
      <c r="D15" s="32" t="n">
        <f aca="false">D14*(1-D7)</f>
        <v>3503.59589759665</v>
      </c>
      <c r="E15" s="32" t="n">
        <f aca="false">E14*(1-E7)</f>
        <v>4009.67086058284</v>
      </c>
      <c r="F15" s="32" t="n">
        <f aca="false">F14*(1-F7)</f>
        <v>4587.06346450677</v>
      </c>
      <c r="G15" s="32" t="n">
        <f aca="false">G14*(1-G7)</f>
        <v>5204.23200336768</v>
      </c>
      <c r="H15" s="32" t="n">
        <f aca="false">H14*(1-H7)</f>
        <v>5637.91800364832</v>
      </c>
    </row>
    <row r="16" customFormat="false" ht="15" hidden="false" customHeight="false" outlineLevel="0" collapsed="false">
      <c r="B16" s="7" t="s">
        <v>97</v>
      </c>
      <c r="D16" s="32" t="n">
        <f aca="false">D13*D8</f>
        <v>748.35344</v>
      </c>
      <c r="E16" s="32" t="n">
        <f aca="false">E13*E8</f>
        <v>770.8040432</v>
      </c>
      <c r="F16" s="32" t="n">
        <f aca="false">F13*F8</f>
        <v>801.636204928</v>
      </c>
      <c r="G16" s="32" t="n">
        <f aca="false">G13*G8</f>
        <v>833.70165312512</v>
      </c>
      <c r="H16" s="32" t="n">
        <f aca="false">H13*H8</f>
        <v>867.049719250125</v>
      </c>
    </row>
    <row r="17" customFormat="false" ht="15" hidden="false" customHeight="false" outlineLevel="0" collapsed="false">
      <c r="B17" s="7" t="s">
        <v>98</v>
      </c>
      <c r="D17" s="32" t="n">
        <f aca="false">-D13*D9</f>
        <v>-701.58135</v>
      </c>
      <c r="E17" s="32" t="n">
        <f aca="false">-E13*E9</f>
        <v>-722.6287905</v>
      </c>
      <c r="F17" s="32" t="n">
        <f aca="false">-F13*F9</f>
        <v>-751.53394212</v>
      </c>
      <c r="G17" s="32" t="n">
        <f aca="false">-G13*G9</f>
        <v>-781.5952998048</v>
      </c>
      <c r="H17" s="32" t="n">
        <f aca="false">-H13*H9</f>
        <v>-812.859111796992</v>
      </c>
    </row>
    <row r="18" customFormat="false" ht="15" hidden="false" customHeight="false" outlineLevel="0" collapsed="false">
      <c r="B18" s="7" t="s">
        <v>99</v>
      </c>
      <c r="D18" s="32" t="n">
        <f aca="false">-D13*D10</f>
        <v>-140.31627</v>
      </c>
      <c r="E18" s="32" t="n">
        <f aca="false">-E13*E10</f>
        <v>-144.5257581</v>
      </c>
      <c r="F18" s="32" t="n">
        <f aca="false">-F13*F10</f>
        <v>-150.306788424</v>
      </c>
      <c r="G18" s="32" t="n">
        <f aca="false">-G13*G10</f>
        <v>-156.31905996096</v>
      </c>
      <c r="H18" s="32" t="n">
        <f aca="false">-H13*H10</f>
        <v>-162.571822359398</v>
      </c>
    </row>
    <row r="19" customFormat="false" ht="15" hidden="false" customHeight="false" outlineLevel="0" collapsed="false">
      <c r="B19" s="37" t="s">
        <v>100</v>
      </c>
      <c r="D19" s="21" t="n">
        <f aca="false">D15+D16+D17+D18</f>
        <v>3410.05171759665</v>
      </c>
      <c r="E19" s="21" t="n">
        <f aca="false">E15+E16+E17+E18</f>
        <v>3913.32035518284</v>
      </c>
      <c r="F19" s="21" t="n">
        <f aca="false">F15+F16+F17+F18</f>
        <v>4486.85893889077</v>
      </c>
      <c r="G19" s="21" t="n">
        <f aca="false">G15+G16+G17+G18</f>
        <v>5100.01929672704</v>
      </c>
      <c r="H19" s="21" t="n">
        <f aca="false">H15+H16+H17+H18</f>
        <v>5529.53678874205</v>
      </c>
    </row>
    <row r="20" customFormat="false" ht="15" hidden="false" customHeight="false" outlineLevel="0" collapsed="false">
      <c r="B20" s="35" t="s">
        <v>101</v>
      </c>
      <c r="D20" s="35" t="n">
        <v>1</v>
      </c>
      <c r="E20" s="35" t="n">
        <v>2</v>
      </c>
      <c r="F20" s="35" t="n">
        <v>3</v>
      </c>
      <c r="G20" s="35" t="n">
        <v>4</v>
      </c>
      <c r="H20" s="35" t="n">
        <v>5</v>
      </c>
    </row>
    <row r="21" customFormat="false" ht="15" hidden="false" customHeight="false" outlineLevel="0" collapsed="false">
      <c r="B21" s="35" t="s">
        <v>102</v>
      </c>
      <c r="D21" s="38" t="n">
        <f aca="false">1/(1+'CAPM &amp; WACC'!$C$23)^D20</f>
        <v>0.914286768359902</v>
      </c>
      <c r="E21" s="38" t="n">
        <f aca="false">1/(1+'CAPM &amp; WACC'!$C$23)^E20</f>
        <v>0.835920294797993</v>
      </c>
      <c r="F21" s="38" t="n">
        <f aca="false">1/(1+'CAPM &amp; WACC'!$C$23)^F20</f>
        <v>0.764270864937313</v>
      </c>
      <c r="G21" s="38" t="n">
        <f aca="false">1/(1+'CAPM &amp; WACC'!$C$23)^G20</f>
        <v>0.698762739255163</v>
      </c>
      <c r="H21" s="38" t="n">
        <f aca="false">1/(1+'CAPM &amp; WACC'!$C$23)^H20</f>
        <v>0.638869526723915</v>
      </c>
    </row>
    <row r="22" customFormat="false" ht="15" hidden="false" customHeight="false" outlineLevel="0" collapsed="false">
      <c r="B22" s="36" t="s">
        <v>103</v>
      </c>
      <c r="D22" s="10" t="n">
        <f aca="false">D19*D21</f>
        <v>3117.76516482158</v>
      </c>
      <c r="E22" s="10" t="n">
        <f aca="false">E19*E21</f>
        <v>3271.22390494342</v>
      </c>
      <c r="F22" s="10" t="n">
        <f aca="false">F19*F21</f>
        <v>3429.17556207776</v>
      </c>
      <c r="G22" s="10" t="n">
        <f aca="false">G19*G21</f>
        <v>3563.70345403517</v>
      </c>
      <c r="H22" s="10" t="n">
        <f aca="false">H19*H21</f>
        <v>3532.65255122611</v>
      </c>
    </row>
    <row r="24" customFormat="false" ht="15" hidden="false" customHeight="false" outlineLevel="0" collapsed="false">
      <c r="B24" s="4" t="s">
        <v>104</v>
      </c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B25" s="7" t="s">
        <v>105</v>
      </c>
      <c r="C25" s="13" t="n">
        <v>0.025</v>
      </c>
    </row>
    <row r="26" customFormat="false" ht="15" hidden="false" customHeight="false" outlineLevel="0" collapsed="false">
      <c r="B26" s="7" t="s">
        <v>106</v>
      </c>
      <c r="C26" s="32" t="n">
        <f aca="false">H19*(1+C25)/('CAPM &amp; WACC'!$C$23-C25)</f>
        <v>82441.8787736503</v>
      </c>
    </row>
    <row r="27" customFormat="false" ht="15" hidden="false" customHeight="false" outlineLevel="0" collapsed="false">
      <c r="B27" s="7" t="s">
        <v>107</v>
      </c>
      <c r="C27" s="32" t="n">
        <f aca="false">C26*H21</f>
        <v>52669.6040743524</v>
      </c>
    </row>
    <row r="28" customFormat="false" ht="15" hidden="false" customHeight="false" outlineLevel="0" collapsed="false">
      <c r="B28" s="7" t="s">
        <v>108</v>
      </c>
      <c r="C28" s="32" t="n">
        <f aca="false">SUM(D22:H22)</f>
        <v>16914.520637104</v>
      </c>
    </row>
    <row r="29" customFormat="false" ht="15" hidden="false" customHeight="false" outlineLevel="0" collapsed="false">
      <c r="B29" s="39" t="s">
        <v>109</v>
      </c>
      <c r="C29" s="40" t="n">
        <f aca="false">C28+C27</f>
        <v>69584.1247114564</v>
      </c>
    </row>
    <row r="31" customFormat="false" ht="15" hidden="false" customHeight="false" outlineLevel="0" collapsed="false">
      <c r="B31" s="7" t="s">
        <v>110</v>
      </c>
      <c r="C31" s="29" t="n">
        <v>7966</v>
      </c>
    </row>
    <row r="32" customFormat="false" ht="15" hidden="false" customHeight="false" outlineLevel="0" collapsed="false">
      <c r="B32" s="7" t="s">
        <v>111</v>
      </c>
      <c r="C32" s="29" t="n">
        <v>9200</v>
      </c>
    </row>
    <row r="33" customFormat="false" ht="15" hidden="false" customHeight="false" outlineLevel="0" collapsed="false">
      <c r="B33" s="36" t="s">
        <v>112</v>
      </c>
      <c r="C33" s="10" t="n">
        <f aca="false">C29-C31+C32</f>
        <v>70818.1247114564</v>
      </c>
    </row>
    <row r="34" customFormat="false" ht="15" hidden="false" customHeight="false" outlineLevel="0" collapsed="false">
      <c r="B34" s="7" t="s">
        <v>113</v>
      </c>
      <c r="C34" s="41" t="n">
        <f aca="false">Cover!$C$15</f>
        <v>1481</v>
      </c>
    </row>
    <row r="35" customFormat="false" ht="15" hidden="false" customHeight="false" outlineLevel="0" collapsed="false">
      <c r="B35" s="42" t="s">
        <v>114</v>
      </c>
      <c r="C35" s="43" t="n">
        <f aca="false">C33/C34</f>
        <v>47.8177749570941</v>
      </c>
    </row>
    <row r="36" customFormat="false" ht="15" hidden="false" customHeight="false" outlineLevel="0" collapsed="false">
      <c r="B36" s="7" t="s">
        <v>115</v>
      </c>
      <c r="C36" s="44" t="n">
        <f aca="false">Cover!$C$14</f>
        <v>44.09</v>
      </c>
    </row>
    <row r="37" customFormat="false" ht="15" hidden="false" customHeight="false" outlineLevel="0" collapsed="false">
      <c r="B37" s="36" t="s">
        <v>116</v>
      </c>
      <c r="C37" s="45" t="n">
        <f aca="false">C35/C36-1</f>
        <v>0.0845492165364965</v>
      </c>
    </row>
    <row r="39" customFormat="false" ht="15" hidden="false" customHeight="false" outlineLevel="0" collapsed="false">
      <c r="B39" s="14" t="s">
        <v>117</v>
      </c>
    </row>
    <row r="40" customFormat="false" ht="15" hidden="false" customHeight="false" outlineLevel="0" collapsed="false">
      <c r="B40" s="14" t="s">
        <v>118</v>
      </c>
    </row>
    <row r="41" customFormat="false" ht="15" hidden="false" customHeight="false" outlineLevel="0" collapsed="false">
      <c r="B41" s="14" t="s">
        <v>119</v>
      </c>
    </row>
    <row r="42" customFormat="false" ht="15" hidden="false" customHeight="false" outlineLevel="0" collapsed="false">
      <c r="B42" s="4" t="s">
        <v>120</v>
      </c>
      <c r="C42" s="4"/>
      <c r="D42" s="4"/>
      <c r="E42" s="4"/>
      <c r="F42" s="4"/>
      <c r="G42" s="4"/>
      <c r="H42" s="4"/>
    </row>
    <row r="43" customFormat="false" ht="15" hidden="false" customHeight="false" outlineLevel="0" collapsed="false">
      <c r="B43" s="46" t="s">
        <v>121</v>
      </c>
      <c r="C43" s="47" t="n">
        <v>0.015</v>
      </c>
      <c r="D43" s="47" t="n">
        <v>0.02</v>
      </c>
      <c r="E43" s="47" t="n">
        <v>0.025</v>
      </c>
      <c r="F43" s="47" t="n">
        <v>0.03</v>
      </c>
      <c r="G43" s="47" t="n">
        <v>0.035</v>
      </c>
    </row>
    <row r="44" customFormat="false" ht="15" hidden="false" customHeight="false" outlineLevel="0" collapsed="false">
      <c r="B44" s="48" t="n">
        <f aca="false">('CAPM &amp; WACC'!$C$23-0.01)</f>
        <v>0.0837487390240324</v>
      </c>
      <c r="C44" s="49" t="n">
        <f aca="false">(D19/(1+('CAPM &amp; WACC'!$C$23-0.01))^1+E19/(1+('CAPM &amp; WACC'!$C$23-0.01))^2+F19/(1+('CAPM &amp; WACC'!$C$23-0.01))^3+G19/(1+('CAPM &amp; WACC'!$C$23-0.01))^4+H19/(1+('CAPM &amp; WACC'!$C$23-0.01))^5+(H19*(1+$C$43)/(('CAPM &amp; WACC'!$C$23-0.01)-$C$43))/(1+('CAPM &amp; WACC'!$C$23-0.01))^5-C31+C32)/C34</f>
        <v>49.4530460799941</v>
      </c>
      <c r="D44" s="49" t="n">
        <f aca="false">(D19/(1+('CAPM &amp; WACC'!$C$23-0.01))^1+E19/(1+('CAPM &amp; WACC'!$C$23-0.01))^2+F19/(1+('CAPM &amp; WACC'!$C$23-0.01))^3+G19/(1+('CAPM &amp; WACC'!$C$23-0.01))^4+H19/(1+('CAPM &amp; WACC'!$C$23-0.01))^5+(H19*(1+$D$43)/(('CAPM &amp; WACC'!$C$23-0.01)-$D$43))/(1+('CAPM &amp; WACC'!$C$23-0.01))^5-C31+C32)/C34</f>
        <v>52.540872945604</v>
      </c>
      <c r="E44" s="49" t="n">
        <f aca="false">(D19/(1+('CAPM &amp; WACC'!$C$23-0.01))^1+E19/(1+('CAPM &amp; WACC'!$C$23-0.01))^2+F19/(1+('CAPM &amp; WACC'!$C$23-0.01))^3+G19/(1+('CAPM &amp; WACC'!$C$23-0.01))^4+H19/(1+('CAPM &amp; WACC'!$C$23-0.01))^5+(H19*(1+$E$43)/(('CAPM &amp; WACC'!$C$23-0.01)-$E$43))/(1+('CAPM &amp; WACC'!$C$23-0.01))^5-C31+C32)/C34</f>
        <v>56.1542986439561</v>
      </c>
      <c r="F44" s="49" t="n">
        <f aca="false">(D19/(1+('CAPM &amp; WACC'!$C$23-0.01))^1+E19/(1+('CAPM &amp; WACC'!$C$23-0.01))^2+F19/(1+('CAPM &amp; WACC'!$C$23-0.01))^3+G19/(1+('CAPM &amp; WACC'!$C$23-0.01))^4+H19/(1+('CAPM &amp; WACC'!$C$23-0.01))^5+(H19*(1+$F$43)/(('CAPM &amp; WACC'!$C$23-0.01)-$F$43))/(1+('CAPM &amp; WACC'!$C$23-0.01))^5-C31+C32)/C34</f>
        <v>60.4400053602379</v>
      </c>
      <c r="G44" s="49" t="n">
        <f aca="false">(D19/(1+('CAPM &amp; WACC'!$C$23-0.01))^1+E19/(1+('CAPM &amp; WACC'!$C$23-0.01))^2+F19/(1+('CAPM &amp; WACC'!$C$23-0.01))^3+G19/(1+('CAPM &amp; WACC'!$C$23-0.01))^4+H19/(1+('CAPM &amp; WACC'!$C$23-0.01))^5+(H19*(1+$G$43)/(('CAPM &amp; WACC'!$C$23-0.01)-$G$43))/(1+('CAPM &amp; WACC'!$C$23-0.01))^5-C31+C32)/C34</f>
        <v>65.6048541429779</v>
      </c>
    </row>
    <row r="45" customFormat="false" ht="15" hidden="false" customHeight="false" outlineLevel="0" collapsed="false">
      <c r="B45" s="48" t="n">
        <f aca="false">('CAPM &amp; WACC'!$C$23-0.005)</f>
        <v>0.0887487390240324</v>
      </c>
      <c r="C45" s="49" t="n">
        <f aca="false">(D19/(1+('CAPM &amp; WACC'!$C$23-0.005))^1+E19/(1+('CAPM &amp; WACC'!$C$23-0.005))^2+F19/(1+('CAPM &amp; WACC'!$C$23-0.005))^3+G19/(1+('CAPM &amp; WACC'!$C$23-0.005))^4+H19/(1+('CAPM &amp; WACC'!$C$23-0.005))^5+(H19*(1+$C$43)/(('CAPM &amp; WACC'!$C$23-0.005)-$C$43))/(1+('CAPM &amp; WACC'!$C$23-0.005))^5-C31+C32)/C34</f>
        <v>46.0058218021122</v>
      </c>
      <c r="D45" s="49" t="n">
        <f aca="false">(D19/(1+('CAPM &amp; WACC'!$C$23-0.005))^1+E19/(1+('CAPM &amp; WACC'!$C$23-0.005))^2+F19/(1+('CAPM &amp; WACC'!$C$23-0.005))^3+G19/(1+('CAPM &amp; WACC'!$C$23-0.005))^4+H19/(1+('CAPM &amp; WACC'!$C$23-0.005))^5+(H19*(1+$D$43)/(('CAPM &amp; WACC'!$C$23-0.005)-$D$43))/(1+('CAPM &amp; WACC'!$C$23-0.005))^5-C31+C32)/C34</f>
        <v>48.6262586738906</v>
      </c>
      <c r="E45" s="49" t="n">
        <f aca="false">(D19/(1+('CAPM &amp; WACC'!$C$23-0.005))^1+E19/(1+('CAPM &amp; WACC'!$C$23-0.005))^2+F19/(1+('CAPM &amp; WACC'!$C$23-0.005))^3+G19/(1+('CAPM &amp; WACC'!$C$23-0.005))^4+H19/(1+('CAPM &amp; WACC'!$C$23-0.005))^5+(H19*(1+$E$43)/(('CAPM &amp; WACC'!$C$23-0.005)-$E$43))/(1+('CAPM &amp; WACC'!$C$23-0.005))^5-C31+C32)/C34</f>
        <v>51.6577525974471</v>
      </c>
      <c r="F45" s="49" t="n">
        <f aca="false">(D19/(1+('CAPM &amp; WACC'!$C$23-0.005))^1+E19/(1+('CAPM &amp; WACC'!$C$23-0.005))^2+F19/(1+('CAPM &amp; WACC'!$C$23-0.005))^3+G19/(1+('CAPM &amp; WACC'!$C$23-0.005))^4+H19/(1+('CAPM &amp; WACC'!$C$23-0.005))^5+(H19*(1+$F$43)/(('CAPM &amp; WACC'!$C$23-0.005)-$F$43))/(1+('CAPM &amp; WACC'!$C$23-0.005))^5-C31+C32)/C34</f>
        <v>55.2052565620558</v>
      </c>
      <c r="G45" s="49" t="n">
        <f aca="false">(D19/(1+('CAPM &amp; WACC'!$C$23-0.005))^1+E19/(1+('CAPM &amp; WACC'!$C$23-0.005))^2+F19/(1+('CAPM &amp; WACC'!$C$23-0.005))^3+G19/(1+('CAPM &amp; WACC'!$C$23-0.005))^4+H19/(1+('CAPM &amp; WACC'!$C$23-0.005))^5+(H19*(1+$G$43)/(('CAPM &amp; WACC'!$C$23-0.005)-$G$43))/(1+('CAPM &amp; WACC'!$C$23-0.005))^5-C31+C32)/C34</f>
        <v>59.4127767482587</v>
      </c>
    </row>
    <row r="46" customFormat="false" ht="15" hidden="false" customHeight="false" outlineLevel="0" collapsed="false">
      <c r="B46" s="48" t="n">
        <f aca="false">('CAPM &amp; WACC'!$C$23+0)</f>
        <v>0.0937487390240324</v>
      </c>
      <c r="C46" s="49" t="n">
        <f aca="false">(D19/(1+('CAPM &amp; WACC'!$C$23+0))^1+E19/(1+('CAPM &amp; WACC'!$C$23+0))^2+F19/(1+('CAPM &amp; WACC'!$C$23+0))^3+G19/(1+('CAPM &amp; WACC'!$C$23+0))^4+H19/(1+('CAPM &amp; WACC'!$C$23+0))^5+(H19*(1+$C$43)/(('CAPM &amp; WACC'!$C$23+0)-$C$43))/(1+('CAPM &amp; WACC'!$C$23+0))^5-C31+C32)/C34</f>
        <v>42.9987953682172</v>
      </c>
      <c r="D46" s="49" t="n">
        <f aca="false">(D19/(1+('CAPM &amp; WACC'!$C$23+0))^1+E19/(1+('CAPM &amp; WACC'!$C$23+0))^2+F19/(1+('CAPM &amp; WACC'!$C$23+0))^3+G19/(1+('CAPM &amp; WACC'!$C$23+0))^4+H19/(1+('CAPM &amp; WACC'!$C$23+0))^5+(H19*(1+$D$43)/(('CAPM &amp; WACC'!$C$23+0)-$D$43))/(1+('CAPM &amp; WACC'!$C$23+0))^5-C31+C32)/C34</f>
        <v>45.2449271292625</v>
      </c>
      <c r="E46" s="49" t="n">
        <f aca="false">(D19/(1+('CAPM &amp; WACC'!$C$23+0))^1+E19/(1+('CAPM &amp; WACC'!$C$23+0))^2+F19/(1+('CAPM &amp; WACC'!$C$23+0))^3+G19/(1+('CAPM &amp; WACC'!$C$23+0))^4+H19/(1+('CAPM &amp; WACC'!$C$23+0))^5+(H19*(1+$E$43)/(('CAPM &amp; WACC'!$C$23+0)-$E$43))/(1+('CAPM &amp; WACC'!$C$23+0))^5-C31+C32)/C34</f>
        <v>47.8177749570941</v>
      </c>
      <c r="F46" s="49" t="n">
        <f aca="false">(D19/(1+('CAPM &amp; WACC'!$C$23+0))^1+E19/(1+('CAPM &amp; WACC'!$C$23+0))^2+F19/(1+('CAPM &amp; WACC'!$C$23+0))^3+G19/(1+('CAPM &amp; WACC'!$C$23+0))^4+H19/(1+('CAPM &amp; WACC'!$C$23+0))^5+(H19*(1+$F$43)/(('CAPM &amp; WACC'!$C$23+0)-$F$43))/(1+('CAPM &amp; WACC'!$C$23+0))^5-C31+C32)/C34</f>
        <v>50.794214740974</v>
      </c>
      <c r="G46" s="49" t="n">
        <f aca="false">(D19/(1+('CAPM &amp; WACC'!$C$23+0))^1+E19/(1+('CAPM &amp; WACC'!$C$23+0))^2+F19/(1+('CAPM &amp; WACC'!$C$23+0))^3+G19/(1+('CAPM &amp; WACC'!$C$23+0))^4+H19/(1+('CAPM &amp; WACC'!$C$23+0))^5+(H19*(1+$G$43)/(('CAPM &amp; WACC'!$C$23+0)-$G$43))/(1+('CAPM &amp; WACC'!$C$23+0))^5-C31+C32)/C34</f>
        <v>54.2772934473782</v>
      </c>
    </row>
    <row r="47" customFormat="false" ht="15" hidden="false" customHeight="false" outlineLevel="0" collapsed="false">
      <c r="B47" s="48" t="n">
        <f aca="false">('CAPM &amp; WACC'!$C$23+0.005)</f>
        <v>0.0987487390240324</v>
      </c>
      <c r="C47" s="49" t="n">
        <f aca="false">(D19/(1+('CAPM &amp; WACC'!$C$23+0.005))^1+E19/(1+('CAPM &amp; WACC'!$C$23+0.005))^2+F19/(1+('CAPM &amp; WACC'!$C$23+0.005))^3+G19/(1+('CAPM &amp; WACC'!$C$23+0.005))^4+H19/(1+('CAPM &amp; WACC'!$C$23+0.005))^5+(H19*(1+$C$43)/(('CAPM &amp; WACC'!$C$23+0.005)-$C$43))/(1+('CAPM &amp; WACC'!$C$23+0.005))^5-C31+C32)/C34</f>
        <v>40.3530714907656</v>
      </c>
      <c r="D47" s="49" t="n">
        <f aca="false">(D19/(1+('CAPM &amp; WACC'!$C$23+0.005))^1+E19/(1+('CAPM &amp; WACC'!$C$23+0.005))^2+F19/(1+('CAPM &amp; WACC'!$C$23+0.005))^3+G19/(1+('CAPM &amp; WACC'!$C$23+0.005))^4+H19/(1+('CAPM &amp; WACC'!$C$23+0.005))^5+(H19*(1+$D$43)/(('CAPM &amp; WACC'!$C$23+0.005)-$D$43))/(1+('CAPM &amp; WACC'!$C$23+0.005))^5-C31+C32)/C34</f>
        <v>42.2952460186131</v>
      </c>
      <c r="E47" s="49" t="n">
        <f aca="false">(D19/(1+('CAPM &amp; WACC'!$C$23+0.005))^1+E19/(1+('CAPM &amp; WACC'!$C$23+0.005))^2+F19/(1+('CAPM &amp; WACC'!$C$23+0.005))^3+G19/(1+('CAPM &amp; WACC'!$C$23+0.005))^4+H19/(1+('CAPM &amp; WACC'!$C$23+0.005))^5+(H19*(1+$E$43)/(('CAPM &amp; WACC'!$C$23+0.005)-$E$43))/(1+('CAPM &amp; WACC'!$C$23+0.005))^5-C31+C32)/C34</f>
        <v>44.5007707479081</v>
      </c>
      <c r="F47" s="49" t="n">
        <f aca="false">(D19/(1+('CAPM &amp; WACC'!$C$23+0.005))^1+E19/(1+('CAPM &amp; WACC'!$C$23+0.005))^2+F19/(1+('CAPM &amp; WACC'!$C$23+0.005))^3+G19/(1+('CAPM &amp; WACC'!$C$23+0.005))^4+H19/(1+('CAPM &amp; WACC'!$C$23+0.005))^5+(H19*(1+$F$43)/(('CAPM &amp; WACC'!$C$23+0.005)-$F$43))/(1+('CAPM &amp; WACC'!$C$23+0.005))^5-C31+C32)/C34</f>
        <v>47.0271049583084</v>
      </c>
      <c r="G47" s="49" t="n">
        <f aca="false">(D19/(1+('CAPM &amp; WACC'!$C$23+0.005))^1+E19/(1+('CAPM &amp; WACC'!$C$23+0.005))^2+F19/(1+('CAPM &amp; WACC'!$C$23+0.005))^3+G19/(1+('CAPM &amp; WACC'!$C$23+0.005))^4+H19/(1+('CAPM &amp; WACC'!$C$23+0.005))^5+(H19*(1+$G$43)/(('CAPM &amp; WACC'!$C$23+0.005)-$G$43))/(1+('CAPM &amp; WACC'!$C$23+0.005))^5-C31+C32)/C34</f>
        <v>49.9497347267194</v>
      </c>
    </row>
    <row r="48" customFormat="false" ht="15" hidden="false" customHeight="false" outlineLevel="0" collapsed="false">
      <c r="B48" s="48" t="n">
        <f aca="false">('CAPM &amp; WACC'!$C$23+0.01)</f>
        <v>0.103748739024032</v>
      </c>
      <c r="C48" s="49" t="n">
        <f aca="false">(D19/(1+('CAPM &amp; WACC'!$C$23+0.01))^1+E19/(1+('CAPM &amp; WACC'!$C$23+0.01))^2+F19/(1+('CAPM &amp; WACC'!$C$23+0.01))^3+G19/(1+('CAPM &amp; WACC'!$C$23+0.01))^4+H19/(1+('CAPM &amp; WACC'!$C$23+0.01))^5+(H19*(1+$C$43)/(('CAPM &amp; WACC'!$C$23+0.01)-$C$43))/(1+('CAPM &amp; WACC'!$C$23+0.01))^5-C31+C32)/C34</f>
        <v>38.0075357469293</v>
      </c>
      <c r="D48" s="49" t="n">
        <f aca="false">(D19/(1+('CAPM &amp; WACC'!$C$23+0.01))^1+E19/(1+('CAPM &amp; WACC'!$C$23+0.01))^2+F19/(1+('CAPM &amp; WACC'!$C$23+0.01))^3+G19/(1+('CAPM &amp; WACC'!$C$23+0.01))^4+H19/(1+('CAPM &amp; WACC'!$C$23+0.01))^5+(H19*(1+$D$43)/(('CAPM &amp; WACC'!$C$23+0.01)-$D$43))/(1+('CAPM &amp; WACC'!$C$23+0.01))^5-C31+C32)/C34</f>
        <v>39.6998552054393</v>
      </c>
      <c r="E48" s="49" t="n">
        <f aca="false">(D19/(1+('CAPM &amp; WACC'!$C$23+0.01))^1+E19/(1+('CAPM &amp; WACC'!$C$23+0.01))^2+F19/(1+('CAPM &amp; WACC'!$C$23+0.01))^3+G19/(1+('CAPM &amp; WACC'!$C$23+0.01))^4+H19/(1+('CAPM &amp; WACC'!$C$23+0.01))^5+(H19*(1+$E$43)/(('CAPM &amp; WACC'!$C$23+0.01)-$E$43))/(1+('CAPM &amp; WACC'!$C$23+0.01))^5-C31+C32)/C34</f>
        <v>41.607075814048</v>
      </c>
      <c r="F48" s="49" t="n">
        <f aca="false">(D19/(1+('CAPM &amp; WACC'!$C$23+0.01))^1+E19/(1+('CAPM &amp; WACC'!$C$23+0.01))^2+F19/(1+('CAPM &amp; WACC'!$C$23+0.01))^3+G19/(1+('CAPM &amp; WACC'!$C$23+0.01))^4+H19/(1+('CAPM &amp; WACC'!$C$23+0.01))^5+(H19*(1+$F$43)/(('CAPM &amp; WACC'!$C$23+0.01)-$F$43))/(1+('CAPM &amp; WACC'!$C$23+0.01))^5-C31+C32)/C34</f>
        <v>43.7729070285937</v>
      </c>
      <c r="G48" s="49" t="n">
        <f aca="false">(D19/(1+('CAPM &amp; WACC'!$C$23+0.01))^1+E19/(1+('CAPM &amp; WACC'!$C$23+0.01))^2+F19/(1+('CAPM &amp; WACC'!$C$23+0.01))^3+G19/(1+('CAPM &amp; WACC'!$C$23+0.01))^4+H19/(1+('CAPM &amp; WACC'!$C$23+0.01))^5+(H19*(1+$G$43)/(('CAPM &amp; WACC'!$C$23+0.01)-$G$43))/(1+('CAPM &amp; WACC'!$C$23+0.01))^5-C31+C32)/C34</f>
        <v>46.2537740162011</v>
      </c>
    </row>
    <row r="50" customFormat="false" ht="15" hidden="false" customHeight="false" outlineLevel="0" collapsed="false">
      <c r="B50" s="14" t="s">
        <v>122</v>
      </c>
    </row>
    <row r="51" customFormat="false" ht="15" hidden="false" customHeight="false" outlineLevel="0" collapsed="false">
      <c r="B51" s="14" t="s">
        <v>123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B2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1"/>
  </cols>
  <sheetData>
    <row r="2" customFormat="false" ht="15" hidden="false" customHeight="false" outlineLevel="0" collapsed="false">
      <c r="B2" s="15" t="s">
        <v>124</v>
      </c>
      <c r="C2" s="15"/>
      <c r="D2" s="15"/>
      <c r="E2" s="15"/>
      <c r="F2" s="15"/>
      <c r="G2" s="15"/>
      <c r="H2" s="15"/>
      <c r="I2" s="15"/>
      <c r="J2" s="15"/>
      <c r="K2" s="15"/>
    </row>
    <row r="4" customFormat="false" ht="23.85" hidden="false" customHeight="false" outlineLevel="0" collapsed="false">
      <c r="B4" s="50" t="s">
        <v>125</v>
      </c>
      <c r="C4" s="50" t="s">
        <v>126</v>
      </c>
      <c r="D4" s="50" t="s">
        <v>127</v>
      </c>
      <c r="E4" s="50" t="s">
        <v>128</v>
      </c>
      <c r="F4" s="50" t="s">
        <v>129</v>
      </c>
      <c r="G4" s="50" t="s">
        <v>130</v>
      </c>
      <c r="H4" s="50" t="s">
        <v>131</v>
      </c>
      <c r="I4" s="50" t="s">
        <v>109</v>
      </c>
      <c r="J4" s="50" t="s">
        <v>132</v>
      </c>
      <c r="K4" s="50" t="s">
        <v>133</v>
      </c>
      <c r="L4" s="50" t="s">
        <v>134</v>
      </c>
      <c r="M4" s="50" t="s">
        <v>135</v>
      </c>
    </row>
    <row r="5" customFormat="false" ht="15" hidden="false" customHeight="false" outlineLevel="0" collapsed="false">
      <c r="B5" s="12" t="s">
        <v>136</v>
      </c>
      <c r="C5" s="12" t="s">
        <v>137</v>
      </c>
      <c r="D5" s="8" t="n">
        <v>44.09</v>
      </c>
      <c r="E5" s="9" t="n">
        <v>1481</v>
      </c>
      <c r="F5" s="32" t="n">
        <f aca="false">D5*E5</f>
        <v>65297.29</v>
      </c>
      <c r="G5" s="29" t="n">
        <v>7966</v>
      </c>
      <c r="H5" s="29" t="n">
        <v>9200</v>
      </c>
      <c r="I5" s="32" t="n">
        <f aca="false">F5+G5-H5</f>
        <v>64063.29</v>
      </c>
      <c r="J5" s="29" t="n">
        <v>46398</v>
      </c>
      <c r="K5" s="29" t="n">
        <v>4351</v>
      </c>
      <c r="L5" s="51" t="n">
        <f aca="false">I5/K5</f>
        <v>14.7238083199265</v>
      </c>
      <c r="M5" s="52" t="n">
        <v>21</v>
      </c>
    </row>
    <row r="6" customFormat="false" ht="15" hidden="false" customHeight="false" outlineLevel="0" collapsed="false">
      <c r="B6" s="12" t="s">
        <v>138</v>
      </c>
      <c r="C6" s="12" t="s">
        <v>139</v>
      </c>
      <c r="D6" s="8" t="n">
        <v>111.77</v>
      </c>
      <c r="E6" s="9" t="n">
        <v>115</v>
      </c>
      <c r="F6" s="32" t="n">
        <f aca="false">D6*E6</f>
        <v>12853.55</v>
      </c>
      <c r="G6" s="29" t="n">
        <v>300</v>
      </c>
      <c r="H6" s="29" t="n">
        <v>1500</v>
      </c>
      <c r="I6" s="32" t="n">
        <f aca="false">F6+G6-H6</f>
        <v>11653.55</v>
      </c>
      <c r="J6" s="29" t="n">
        <v>11200</v>
      </c>
      <c r="K6" s="29" t="n">
        <v>2580</v>
      </c>
      <c r="L6" s="51" t="n">
        <f aca="false">I6/K6</f>
        <v>4.51687984496124</v>
      </c>
      <c r="M6" s="52" t="n">
        <v>9</v>
      </c>
    </row>
    <row r="7" customFormat="false" ht="15" hidden="false" customHeight="false" outlineLevel="0" collapsed="false">
      <c r="B7" s="12" t="s">
        <v>140</v>
      </c>
      <c r="C7" s="12" t="s">
        <v>141</v>
      </c>
      <c r="D7" s="8" t="n">
        <v>104.69</v>
      </c>
      <c r="E7" s="9" t="n">
        <v>145</v>
      </c>
      <c r="F7" s="32" t="n">
        <f aca="false">D7*E7</f>
        <v>15180.05</v>
      </c>
      <c r="G7" s="29" t="n">
        <v>0</v>
      </c>
      <c r="H7" s="29" t="n">
        <v>2100</v>
      </c>
      <c r="I7" s="32" t="n">
        <f aca="false">F7+G7-H7</f>
        <v>13080.05</v>
      </c>
      <c r="J7" s="29" t="n">
        <v>4700</v>
      </c>
      <c r="K7" s="29" t="n">
        <v>1150</v>
      </c>
      <c r="L7" s="51" t="n">
        <f aca="false">I7/K7</f>
        <v>11.3739565217391</v>
      </c>
      <c r="M7" s="52" t="n">
        <v>18.5</v>
      </c>
    </row>
    <row r="8" customFormat="false" ht="15" hidden="false" customHeight="false" outlineLevel="0" collapsed="false">
      <c r="B8" s="12" t="s">
        <v>142</v>
      </c>
      <c r="C8" s="12" t="s">
        <v>143</v>
      </c>
      <c r="D8" s="8" t="n">
        <v>105.15</v>
      </c>
      <c r="E8" s="9" t="n">
        <v>195</v>
      </c>
      <c r="F8" s="32" t="n">
        <f aca="false">D8*E8</f>
        <v>20504.25</v>
      </c>
      <c r="G8" s="29" t="n">
        <v>2200</v>
      </c>
      <c r="H8" s="29" t="n">
        <v>1600</v>
      </c>
      <c r="I8" s="32" t="n">
        <f aca="false">F8+G8-H8</f>
        <v>21104.25</v>
      </c>
      <c r="J8" s="29" t="n">
        <v>25500</v>
      </c>
      <c r="K8" s="29" t="n">
        <v>3100</v>
      </c>
      <c r="L8" s="51" t="n">
        <f aca="false">I8/K8</f>
        <v>6.80782258064516</v>
      </c>
      <c r="M8" s="52" t="n">
        <v>22</v>
      </c>
    </row>
    <row r="9" customFormat="false" ht="15" hidden="false" customHeight="false" outlineLevel="0" collapsed="false">
      <c r="B9" s="12" t="s">
        <v>144</v>
      </c>
      <c r="C9" s="12" t="s">
        <v>145</v>
      </c>
      <c r="D9" s="8" t="n">
        <v>36.83</v>
      </c>
      <c r="E9" s="9" t="n">
        <v>145</v>
      </c>
      <c r="F9" s="32" t="n">
        <f aca="false">D9*E9</f>
        <v>5340.35</v>
      </c>
      <c r="G9" s="29" t="n">
        <v>100</v>
      </c>
      <c r="H9" s="29" t="n">
        <v>900</v>
      </c>
      <c r="I9" s="32" t="n">
        <f aca="false">F9+G9-H9</f>
        <v>4540.35</v>
      </c>
      <c r="J9" s="29" t="n">
        <v>3000</v>
      </c>
      <c r="K9" s="29" t="n">
        <v>500</v>
      </c>
      <c r="L9" s="51" t="n">
        <f aca="false">I9/K9</f>
        <v>9.0807</v>
      </c>
      <c r="M9" s="52" t="n">
        <v>45</v>
      </c>
    </row>
    <row r="11" customFormat="false" ht="15" hidden="false" customHeight="false" outlineLevel="0" collapsed="false">
      <c r="B11" s="36" t="s">
        <v>146</v>
      </c>
      <c r="L11" s="53" t="n">
        <f aca="false">MEDIAN(L6:L9)</f>
        <v>7.94426129032258</v>
      </c>
    </row>
    <row r="12" customFormat="false" ht="15" hidden="false" customHeight="false" outlineLevel="0" collapsed="false">
      <c r="B12" s="36" t="s">
        <v>147</v>
      </c>
      <c r="M12" s="53" t="n">
        <f aca="false">MEDIAN(M6:M9)</f>
        <v>20.25</v>
      </c>
    </row>
    <row r="14" customFormat="false" ht="15" hidden="false" customHeight="false" outlineLevel="0" collapsed="false">
      <c r="B14" s="4" t="s">
        <v>148</v>
      </c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B15" s="54" t="s">
        <v>149</v>
      </c>
      <c r="C15" s="55"/>
      <c r="D15" s="54" t="s">
        <v>150</v>
      </c>
      <c r="E15" s="54" t="s">
        <v>151</v>
      </c>
      <c r="F15" s="54" t="s">
        <v>152</v>
      </c>
      <c r="G15" s="54" t="s">
        <v>112</v>
      </c>
      <c r="H15" s="54" t="s">
        <v>153</v>
      </c>
    </row>
    <row r="16" customFormat="false" ht="15" hidden="false" customHeight="false" outlineLevel="0" collapsed="false">
      <c r="B16" s="7" t="s">
        <v>154</v>
      </c>
      <c r="D16" s="56" t="n">
        <f aca="false">L11</f>
        <v>7.94426129032258</v>
      </c>
      <c r="E16" s="31" t="n">
        <f aca="false">K5</f>
        <v>4351</v>
      </c>
      <c r="F16" s="32" t="n">
        <f aca="false">D16*E16</f>
        <v>34565.4808741935</v>
      </c>
      <c r="G16" s="32" t="n">
        <f aca="false">F16-G5+H5</f>
        <v>35799.4808741935</v>
      </c>
      <c r="H16" s="22" t="n">
        <f aca="false">G16/Cover!$C$15</f>
        <v>24.1725056544183</v>
      </c>
    </row>
    <row r="17" customFormat="false" ht="15" hidden="false" customHeight="false" outlineLevel="0" collapsed="false">
      <c r="B17" s="7" t="s">
        <v>155</v>
      </c>
      <c r="D17" s="56" t="n">
        <f aca="false">M12</f>
        <v>20.25</v>
      </c>
      <c r="E17" s="31" t="n">
        <f aca="false">'Historical FS'!G17</f>
        <v>3219</v>
      </c>
      <c r="G17" s="32" t="n">
        <f aca="false">D17*E17</f>
        <v>65184.75</v>
      </c>
      <c r="H17" s="22" t="n">
        <f aca="false">G17/Cover!$C$15</f>
        <v>44.0140108035111</v>
      </c>
    </row>
    <row r="19" customFormat="false" ht="15" hidden="false" customHeight="false" outlineLevel="0" collapsed="false">
      <c r="B19" s="36" t="s">
        <v>156</v>
      </c>
      <c r="H19" s="44" t="n">
        <f aca="false">'DCF Valuation'!C35</f>
        <v>47.8177749570941</v>
      </c>
    </row>
    <row r="21" customFormat="false" ht="15" hidden="false" customHeight="false" outlineLevel="0" collapsed="false">
      <c r="B21" s="14" t="s">
        <v>157</v>
      </c>
    </row>
    <row r="22" customFormat="false" ht="15" hidden="false" customHeight="false" outlineLevel="0" collapsed="false">
      <c r="B22" s="14" t="s">
        <v>158</v>
      </c>
    </row>
    <row r="23" customFormat="false" ht="15" hidden="false" customHeight="false" outlineLevel="0" collapsed="false">
      <c r="B23" s="14" t="s">
        <v>159</v>
      </c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B2:G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8" min="3" style="0" width="11"/>
    <col collapsed="false" customWidth="true" hidden="false" outlineLevel="0" max="9" min="9" style="0" width="4"/>
    <col collapsed="false" customWidth="true" hidden="false" outlineLevel="0" max="10" min="10" style="0" width="40"/>
  </cols>
  <sheetData>
    <row r="2" customFormat="false" ht="15" hidden="false" customHeight="false" outlineLevel="0" collapsed="false">
      <c r="B2" s="15" t="s">
        <v>160</v>
      </c>
      <c r="C2" s="15"/>
      <c r="D2" s="15"/>
      <c r="E2" s="15"/>
      <c r="F2" s="15"/>
      <c r="G2" s="15"/>
    </row>
    <row r="4" customFormat="false" ht="15" hidden="false" customHeight="false" outlineLevel="0" collapsed="false">
      <c r="B4" s="4" t="s">
        <v>161</v>
      </c>
      <c r="C4" s="4"/>
      <c r="D4" s="4"/>
      <c r="E4" s="4"/>
      <c r="F4" s="4"/>
    </row>
    <row r="5" customFormat="false" ht="35.05" hidden="false" customHeight="false" outlineLevel="0" collapsed="false">
      <c r="B5" s="50" t="s">
        <v>162</v>
      </c>
      <c r="C5" s="50" t="s">
        <v>163</v>
      </c>
      <c r="D5" s="50" t="s">
        <v>164</v>
      </c>
      <c r="E5" s="50" t="s">
        <v>165</v>
      </c>
      <c r="F5" s="50" t="s">
        <v>166</v>
      </c>
    </row>
    <row r="6" customFormat="false" ht="15" hidden="false" customHeight="false" outlineLevel="0" collapsed="false">
      <c r="B6" s="12" t="s">
        <v>167</v>
      </c>
      <c r="C6" s="11" t="n">
        <v>1.13</v>
      </c>
      <c r="D6" s="30" t="n">
        <f aca="false">Cover!$C$19+C6*'CAPM &amp; WACC'!$C$5</f>
        <v>0.1014</v>
      </c>
      <c r="E6" s="13" t="n">
        <v>0.327</v>
      </c>
      <c r="F6" s="57" t="s">
        <v>168</v>
      </c>
    </row>
    <row r="7" customFormat="false" ht="15" hidden="false" customHeight="false" outlineLevel="0" collapsed="false">
      <c r="B7" s="12" t="s">
        <v>169</v>
      </c>
      <c r="C7" s="11" t="n">
        <v>0.86</v>
      </c>
      <c r="D7" s="30" t="n">
        <f aca="false">Cover!$C$19+C7*'CAPM &amp; WACC'!$C$5</f>
        <v>0.0879</v>
      </c>
      <c r="E7" s="13" t="n">
        <v>0.35</v>
      </c>
      <c r="F7" s="57" t="s">
        <v>170</v>
      </c>
    </row>
    <row r="8" customFormat="false" ht="15" hidden="false" customHeight="false" outlineLevel="0" collapsed="false">
      <c r="B8" s="12" t="s">
        <v>171</v>
      </c>
      <c r="C8" s="11" t="n">
        <v>1.17</v>
      </c>
      <c r="D8" s="30" t="n">
        <f aca="false">Cover!$C$19+C8*'CAPM &amp; WACC'!$C$5</f>
        <v>0.1034</v>
      </c>
      <c r="E8" s="13" t="n">
        <v>0.433</v>
      </c>
      <c r="F8" s="57" t="s">
        <v>172</v>
      </c>
    </row>
    <row r="9" customFormat="false" ht="15" hidden="false" customHeight="false" outlineLevel="0" collapsed="false">
      <c r="B9" s="12" t="s">
        <v>173</v>
      </c>
      <c r="C9" s="11" t="n">
        <v>0.9</v>
      </c>
      <c r="D9" s="30" t="n">
        <f aca="false">Cover!$C$19+C9*'CAPM &amp; WACC'!$C$5</f>
        <v>0.0899</v>
      </c>
      <c r="E9" s="13" t="n">
        <v>0.28</v>
      </c>
      <c r="F9" s="57" t="s">
        <v>174</v>
      </c>
    </row>
    <row r="10" customFormat="false" ht="15" hidden="false" customHeight="false" outlineLevel="0" collapsed="false">
      <c r="B10" s="12" t="s">
        <v>175</v>
      </c>
      <c r="C10" s="11" t="n">
        <v>1.5</v>
      </c>
      <c r="D10" s="30" t="n">
        <f aca="false">Cover!$C$19+C10*'CAPM &amp; WACC'!$C$5</f>
        <v>0.1199</v>
      </c>
      <c r="E10" s="13" t="n">
        <v>0.45</v>
      </c>
      <c r="F10" s="57" t="s">
        <v>176</v>
      </c>
    </row>
    <row r="12" customFormat="false" ht="15" hidden="false" customHeight="false" outlineLevel="0" collapsed="false">
      <c r="B12" s="4" t="s">
        <v>177</v>
      </c>
      <c r="C12" s="4"/>
      <c r="D12" s="4"/>
      <c r="E12" s="4"/>
      <c r="F12" s="4"/>
      <c r="G12" s="4"/>
    </row>
    <row r="13" customFormat="false" ht="15" hidden="false" customHeight="false" outlineLevel="0" collapsed="false">
      <c r="C13" s="16" t="s">
        <v>137</v>
      </c>
      <c r="D13" s="16" t="s">
        <v>139</v>
      </c>
      <c r="E13" s="16" t="s">
        <v>141</v>
      </c>
      <c r="F13" s="16" t="s">
        <v>143</v>
      </c>
      <c r="G13" s="16" t="s">
        <v>145</v>
      </c>
    </row>
    <row r="14" customFormat="false" ht="15" hidden="false" customHeight="false" outlineLevel="0" collapsed="false">
      <c r="B14" s="58" t="s">
        <v>137</v>
      </c>
      <c r="C14" s="59" t="n">
        <v>1</v>
      </c>
      <c r="D14" s="59" t="n">
        <v>0.55</v>
      </c>
      <c r="E14" s="59" t="n">
        <v>0.6</v>
      </c>
      <c r="F14" s="59" t="n">
        <v>0.5</v>
      </c>
      <c r="G14" s="59" t="n">
        <v>0.45</v>
      </c>
    </row>
    <row r="15" customFormat="false" ht="15" hidden="false" customHeight="false" outlineLevel="0" collapsed="false">
      <c r="B15" s="58" t="s">
        <v>139</v>
      </c>
      <c r="C15" s="59" t="n">
        <v>0.55</v>
      </c>
      <c r="D15" s="59" t="n">
        <v>1</v>
      </c>
      <c r="E15" s="59" t="n">
        <v>0.5</v>
      </c>
      <c r="F15" s="59" t="n">
        <v>0.4</v>
      </c>
      <c r="G15" s="59" t="n">
        <v>0.45</v>
      </c>
    </row>
    <row r="16" customFormat="false" ht="15" hidden="false" customHeight="false" outlineLevel="0" collapsed="false">
      <c r="B16" s="58" t="s">
        <v>141</v>
      </c>
      <c r="C16" s="59" t="n">
        <v>0.6</v>
      </c>
      <c r="D16" s="59" t="n">
        <v>0.5</v>
      </c>
      <c r="E16" s="59" t="n">
        <v>1</v>
      </c>
      <c r="F16" s="59" t="n">
        <v>0.45</v>
      </c>
      <c r="G16" s="59" t="n">
        <v>0.5</v>
      </c>
    </row>
    <row r="17" customFormat="false" ht="15" hidden="false" customHeight="false" outlineLevel="0" collapsed="false">
      <c r="B17" s="58" t="s">
        <v>143</v>
      </c>
      <c r="C17" s="59" t="n">
        <v>0.5</v>
      </c>
      <c r="D17" s="59" t="n">
        <v>0.4</v>
      </c>
      <c r="E17" s="59" t="n">
        <v>0.45</v>
      </c>
      <c r="F17" s="59" t="n">
        <v>1</v>
      </c>
      <c r="G17" s="59" t="n">
        <v>0.4</v>
      </c>
    </row>
    <row r="18" customFormat="false" ht="15" hidden="false" customHeight="false" outlineLevel="0" collapsed="false">
      <c r="B18" s="58" t="s">
        <v>145</v>
      </c>
      <c r="C18" s="59" t="n">
        <v>0.45</v>
      </c>
      <c r="D18" s="59" t="n">
        <v>0.45</v>
      </c>
      <c r="E18" s="59" t="n">
        <v>0.5</v>
      </c>
      <c r="F18" s="59" t="n">
        <v>0.4</v>
      </c>
      <c r="G18" s="59" t="n">
        <v>1</v>
      </c>
    </row>
    <row r="20" customFormat="false" ht="15" hidden="false" customHeight="false" outlineLevel="0" collapsed="false">
      <c r="B20" s="4" t="s">
        <v>178</v>
      </c>
      <c r="C20" s="4"/>
      <c r="D20" s="4"/>
      <c r="E20" s="4"/>
      <c r="F20" s="4"/>
      <c r="G20" s="4"/>
    </row>
    <row r="21" customFormat="false" ht="15" hidden="false" customHeight="false" outlineLevel="0" collapsed="false">
      <c r="C21" s="16" t="s">
        <v>137</v>
      </c>
      <c r="D21" s="16" t="s">
        <v>139</v>
      </c>
      <c r="E21" s="16" t="s">
        <v>141</v>
      </c>
      <c r="F21" s="16" t="s">
        <v>143</v>
      </c>
      <c r="G21" s="16" t="s">
        <v>145</v>
      </c>
    </row>
    <row r="22" customFormat="false" ht="15" hidden="false" customHeight="false" outlineLevel="0" collapsed="false">
      <c r="B22" s="58" t="s">
        <v>137</v>
      </c>
      <c r="C22" s="60" t="n">
        <f aca="false">C14*$E$6*$E$6</f>
        <v>0.106929</v>
      </c>
      <c r="D22" s="60" t="n">
        <f aca="false">D14*$E$6*$E$7</f>
        <v>0.0629475</v>
      </c>
      <c r="E22" s="60" t="n">
        <f aca="false">E14*$E$6*$E$8</f>
        <v>0.0849546</v>
      </c>
      <c r="F22" s="60" t="n">
        <f aca="false">F14*$E$6*$E$9</f>
        <v>0.04578</v>
      </c>
      <c r="G22" s="60" t="n">
        <f aca="false">G14*$E$6*$E$10</f>
        <v>0.0662175</v>
      </c>
    </row>
    <row r="23" customFormat="false" ht="15" hidden="false" customHeight="false" outlineLevel="0" collapsed="false">
      <c r="B23" s="58" t="s">
        <v>139</v>
      </c>
      <c r="C23" s="60" t="n">
        <f aca="false">C15*$E$7*$E$6</f>
        <v>0.0629475</v>
      </c>
      <c r="D23" s="60" t="n">
        <f aca="false">D15*$E$7*$E$7</f>
        <v>0.1225</v>
      </c>
      <c r="E23" s="60" t="n">
        <f aca="false">E15*$E$7*$E$8</f>
        <v>0.075775</v>
      </c>
      <c r="F23" s="60" t="n">
        <f aca="false">F15*$E$7*$E$9</f>
        <v>0.0392</v>
      </c>
      <c r="G23" s="60" t="n">
        <f aca="false">G15*$E$7*$E$10</f>
        <v>0.070875</v>
      </c>
    </row>
    <row r="24" customFormat="false" ht="15" hidden="false" customHeight="false" outlineLevel="0" collapsed="false">
      <c r="B24" s="58" t="s">
        <v>141</v>
      </c>
      <c r="C24" s="60" t="n">
        <f aca="false">C16*$E$8*$E$6</f>
        <v>0.0849546</v>
      </c>
      <c r="D24" s="60" t="n">
        <f aca="false">D16*$E$8*$E$7</f>
        <v>0.075775</v>
      </c>
      <c r="E24" s="60" t="n">
        <f aca="false">E16*$E$8*$E$8</f>
        <v>0.187489</v>
      </c>
      <c r="F24" s="60" t="n">
        <f aca="false">F16*$E$8*$E$9</f>
        <v>0.054558</v>
      </c>
      <c r="G24" s="60" t="n">
        <f aca="false">G16*$E$8*$E$10</f>
        <v>0.097425</v>
      </c>
    </row>
    <row r="25" customFormat="false" ht="15" hidden="false" customHeight="false" outlineLevel="0" collapsed="false">
      <c r="B25" s="58" t="s">
        <v>143</v>
      </c>
      <c r="C25" s="60" t="n">
        <f aca="false">C17*$E$9*$E$6</f>
        <v>0.04578</v>
      </c>
      <c r="D25" s="60" t="n">
        <f aca="false">D17*$E$9*$E$7</f>
        <v>0.0392</v>
      </c>
      <c r="E25" s="60" t="n">
        <f aca="false">E17*$E$9*$E$8</f>
        <v>0.054558</v>
      </c>
      <c r="F25" s="60" t="n">
        <f aca="false">F17*$E$9*$E$9</f>
        <v>0.0784</v>
      </c>
      <c r="G25" s="60" t="n">
        <f aca="false">G17*$E$9*$E$10</f>
        <v>0.0504</v>
      </c>
    </row>
    <row r="26" customFormat="false" ht="15" hidden="false" customHeight="false" outlineLevel="0" collapsed="false">
      <c r="B26" s="58" t="s">
        <v>145</v>
      </c>
      <c r="C26" s="60" t="n">
        <f aca="false">C18*$E$10*$E$6</f>
        <v>0.0662175</v>
      </c>
      <c r="D26" s="60" t="n">
        <f aca="false">D18*$E$10*$E$7</f>
        <v>0.070875</v>
      </c>
      <c r="E26" s="60" t="n">
        <f aca="false">E18*$E$10*$E$8</f>
        <v>0.097425</v>
      </c>
      <c r="F26" s="60" t="n">
        <f aca="false">F18*$E$10*$E$9</f>
        <v>0.0504</v>
      </c>
      <c r="G26" s="60" t="n">
        <f aca="false">G18*$E$10*$E$10</f>
        <v>0.2025</v>
      </c>
    </row>
    <row r="29" customFormat="false" ht="15" hidden="false" customHeight="false" outlineLevel="0" collapsed="false">
      <c r="B29" s="4" t="s">
        <v>179</v>
      </c>
      <c r="C29" s="4"/>
      <c r="D29" s="4"/>
      <c r="E29" s="4"/>
      <c r="F29" s="4"/>
      <c r="G29" s="4"/>
    </row>
    <row r="30" customFormat="false" ht="15" hidden="false" customHeight="false" outlineLevel="0" collapsed="false">
      <c r="B30" s="7" t="s">
        <v>180</v>
      </c>
      <c r="C30" s="30" t="n">
        <f aca="false">AVERAGE(D7:D10)</f>
        <v>0.100275</v>
      </c>
    </row>
    <row r="31" customFormat="false" ht="15" hidden="false" customHeight="false" outlineLevel="0" collapsed="false">
      <c r="B31" s="7" t="s">
        <v>181</v>
      </c>
      <c r="C31" s="61" t="n">
        <f aca="false">0.0625*D23+0.0625*E23+0.0625*F23+0.0625*G23+0.0625*D24+0.0625*E24+0.0625*F24+0.0625*G24+0.0625*D25+0.0625*E25+0.0625*F25+0.0625*G25+0.0625*D26+0.0625*E26+0.0625*F26+0.0625*G26</f>
        <v>0.0854596875</v>
      </c>
    </row>
    <row r="32" customFormat="false" ht="15" hidden="false" customHeight="false" outlineLevel="0" collapsed="false">
      <c r="B32" s="7" t="s">
        <v>182</v>
      </c>
      <c r="C32" s="30" t="n">
        <f aca="false">SQRT(C31)</f>
        <v>0.292334889296505</v>
      </c>
    </row>
    <row r="33" customFormat="false" ht="15" hidden="false" customHeight="false" outlineLevel="0" collapsed="false">
      <c r="B33" s="7" t="s">
        <v>183</v>
      </c>
      <c r="C33" s="61" t="n">
        <f aca="false">0.25*D22+0.25*E22+0.25*F22+0.25*G22</f>
        <v>0.0649749</v>
      </c>
    </row>
    <row r="35" customFormat="false" ht="15" hidden="false" customHeight="false" outlineLevel="0" collapsed="false">
      <c r="B35" s="4" t="s">
        <v>184</v>
      </c>
      <c r="C35" s="4"/>
      <c r="D35" s="4"/>
      <c r="E35" s="4"/>
      <c r="F35" s="4"/>
      <c r="G35" s="4"/>
    </row>
    <row r="36" customFormat="false" ht="23.85" hidden="false" customHeight="false" outlineLevel="0" collapsed="false">
      <c r="B36" s="50" t="s">
        <v>185</v>
      </c>
      <c r="C36" s="50" t="s">
        <v>186</v>
      </c>
      <c r="D36" s="50" t="s">
        <v>187</v>
      </c>
      <c r="E36" s="50" t="s">
        <v>188</v>
      </c>
      <c r="F36" s="50" t="s">
        <v>189</v>
      </c>
      <c r="G36" s="50" t="s">
        <v>190</v>
      </c>
    </row>
    <row r="37" customFormat="false" ht="15" hidden="false" customHeight="false" outlineLevel="0" collapsed="false">
      <c r="B37" s="13" t="n">
        <v>0</v>
      </c>
      <c r="C37" s="30" t="n">
        <f aca="false">1-B37</f>
        <v>1</v>
      </c>
      <c r="D37" s="30" t="n">
        <f aca="false">B37*$D$6+C37*$C$30</f>
        <v>0.100275</v>
      </c>
      <c r="E37" s="61" t="n">
        <f aca="false">B37^2*$C$22+C37^2*$C$31+2*B37*C37*$C$33</f>
        <v>0.0854596875</v>
      </c>
      <c r="F37" s="30" t="n">
        <f aca="false">SQRT(E37)</f>
        <v>0.292334889296505</v>
      </c>
      <c r="G37" s="62" t="n">
        <f aca="false">(D37-Cover!$C$19)/F37</f>
        <v>0.189423165101019</v>
      </c>
    </row>
    <row r="38" customFormat="false" ht="15" hidden="false" customHeight="false" outlineLevel="0" collapsed="false">
      <c r="B38" s="13" t="n">
        <v>0.1</v>
      </c>
      <c r="C38" s="30" t="n">
        <f aca="false">1-B38</f>
        <v>0.9</v>
      </c>
      <c r="D38" s="30" t="n">
        <f aca="false">B38*$D$6+C38*$C$30</f>
        <v>0.1003875</v>
      </c>
      <c r="E38" s="61" t="n">
        <f aca="false">B38^2*$C$22+C38^2*$C$31+2*B38*C38*$C$33</f>
        <v>0.081987118875</v>
      </c>
      <c r="F38" s="30" t="n">
        <f aca="false">SQRT(E38)</f>
        <v>0.286333928962322</v>
      </c>
      <c r="G38" s="62" t="n">
        <f aca="false">(D38-Cover!$C$19)/F38</f>
        <v>0.193785976398562</v>
      </c>
    </row>
    <row r="39" customFormat="false" ht="15" hidden="false" customHeight="false" outlineLevel="0" collapsed="false">
      <c r="B39" s="13" t="n">
        <v>0.2</v>
      </c>
      <c r="C39" s="30" t="n">
        <f aca="false">1-B39</f>
        <v>0.8</v>
      </c>
      <c r="D39" s="30" t="n">
        <f aca="false">B39*$D$6+C39*$C$30</f>
        <v>0.1005</v>
      </c>
      <c r="E39" s="61" t="n">
        <f aca="false">B39^2*$C$22+C39^2*$C$31+2*B39*C39*$C$33</f>
        <v>0.079763328</v>
      </c>
      <c r="F39" s="30" t="n">
        <f aca="false">SQRT(E39)</f>
        <v>0.28242402164122</v>
      </c>
      <c r="G39" s="62" t="n">
        <f aca="false">(D39-Cover!$C$19)/F39</f>
        <v>0.196867106689076</v>
      </c>
    </row>
    <row r="40" customFormat="false" ht="15" hidden="false" customHeight="false" outlineLevel="0" collapsed="false">
      <c r="B40" s="13" t="n">
        <v>0.3</v>
      </c>
      <c r="C40" s="30" t="n">
        <f aca="false">1-B40</f>
        <v>0.7</v>
      </c>
      <c r="D40" s="30" t="n">
        <f aca="false">B40*$D$6+C40*$C$30</f>
        <v>0.1006125</v>
      </c>
      <c r="E40" s="61" t="n">
        <f aca="false">B40^2*$C$22+C40^2*$C$31+2*B40*C40*$C$33</f>
        <v>0.078788314875</v>
      </c>
      <c r="F40" s="30" t="n">
        <f aca="false">SQRT(E40)</f>
        <v>0.280692562913591</v>
      </c>
      <c r="G40" s="62" t="n">
        <f aca="false">(D40-Cover!$C$19)/F40</f>
        <v>0.198482280476917</v>
      </c>
    </row>
    <row r="41" customFormat="false" ht="15" hidden="false" customHeight="false" outlineLevel="0" collapsed="false">
      <c r="B41" s="13" t="n">
        <v>0.4</v>
      </c>
      <c r="C41" s="30" t="n">
        <f aca="false">1-B41</f>
        <v>0.6</v>
      </c>
      <c r="D41" s="30" t="n">
        <f aca="false">B41*$D$6+C41*$C$30</f>
        <v>0.100725</v>
      </c>
      <c r="E41" s="61" t="n">
        <f aca="false">B41^2*$C$22+C41^2*$C$31+2*B41*C41*$C$33</f>
        <v>0.0790620795</v>
      </c>
      <c r="F41" s="30" t="n">
        <f aca="false">SQRT(E41)</f>
        <v>0.28117979923885</v>
      </c>
      <c r="G41" s="62" t="n">
        <f aca="false">(D41-Cover!$C$19)/F41</f>
        <v>0.198538444621973</v>
      </c>
    </row>
    <row r="42" customFormat="false" ht="15" hidden="false" customHeight="false" outlineLevel="0" collapsed="false">
      <c r="B42" s="13" t="n">
        <v>0.5</v>
      </c>
      <c r="C42" s="30" t="n">
        <f aca="false">1-B42</f>
        <v>0.5</v>
      </c>
      <c r="D42" s="30" t="n">
        <f aca="false">B42*$D$6+C42*$C$30</f>
        <v>0.1008375</v>
      </c>
      <c r="E42" s="61" t="n">
        <f aca="false">B42^2*$C$22+C42^2*$C$31+2*B42*C42*$C$33</f>
        <v>0.080584621875</v>
      </c>
      <c r="F42" s="30" t="n">
        <f aca="false">SQRT(E42)</f>
        <v>0.283874306472072</v>
      </c>
      <c r="G42" s="62" t="n">
        <f aca="false">(D42-Cover!$C$19)/F42</f>
        <v>0.197050239224462</v>
      </c>
    </row>
    <row r="43" customFormat="false" ht="15" hidden="false" customHeight="false" outlineLevel="0" collapsed="false">
      <c r="B43" s="13" t="n">
        <v>0.6</v>
      </c>
      <c r="C43" s="30" t="n">
        <f aca="false">1-B43</f>
        <v>0.4</v>
      </c>
      <c r="D43" s="30" t="n">
        <f aca="false">B43*$D$6+C43*$C$30</f>
        <v>0.10095</v>
      </c>
      <c r="E43" s="61" t="n">
        <f aca="false">B43^2*$C$22+C43^2*$C$31+2*B43*C43*$C$33</f>
        <v>0.083355942</v>
      </c>
      <c r="F43" s="30" t="n">
        <f aca="false">SQRT(E43)</f>
        <v>0.288714291298508</v>
      </c>
      <c r="G43" s="62" t="n">
        <f aca="false">(D43-Cover!$C$19)/F43</f>
        <v>0.194136562301478</v>
      </c>
    </row>
    <row r="44" customFormat="false" ht="15" hidden="false" customHeight="false" outlineLevel="0" collapsed="false">
      <c r="B44" s="13" t="n">
        <v>0.7</v>
      </c>
      <c r="C44" s="30" t="n">
        <f aca="false">1-B44</f>
        <v>0.3</v>
      </c>
      <c r="D44" s="30" t="n">
        <f aca="false">B44*$D$6+C44*$C$30</f>
        <v>0.1010625</v>
      </c>
      <c r="E44" s="61" t="n">
        <f aca="false">B44^2*$C$22+C44^2*$C$31+2*B44*C44*$C$33</f>
        <v>0.087376039875</v>
      </c>
      <c r="F44" s="30" t="n">
        <f aca="false">SQRT(E44)</f>
        <v>0.295594384038331</v>
      </c>
      <c r="G44" s="62" t="n">
        <f aca="false">(D44-Cover!$C$19)/F44</f>
        <v>0.189998535265532</v>
      </c>
    </row>
    <row r="45" customFormat="false" ht="15" hidden="false" customHeight="false" outlineLevel="0" collapsed="false">
      <c r="B45" s="13" t="n">
        <v>0.8</v>
      </c>
      <c r="C45" s="30" t="n">
        <f aca="false">1-B45</f>
        <v>0.2</v>
      </c>
      <c r="D45" s="30" t="n">
        <f aca="false">B45*$D$6+C45*$C$30</f>
        <v>0.101175</v>
      </c>
      <c r="E45" s="61" t="n">
        <f aca="false">B45^2*$C$22+C45^2*$C$31+2*B45*C45*$C$33</f>
        <v>0.0926449155</v>
      </c>
      <c r="F45" s="30" t="n">
        <f aca="false">SQRT(E45)</f>
        <v>0.304376272892616</v>
      </c>
      <c r="G45" s="62" t="n">
        <f aca="false">(D45-Cover!$C$19)/F45</f>
        <v>0.184886290462772</v>
      </c>
    </row>
    <row r="46" customFormat="false" ht="15" hidden="false" customHeight="false" outlineLevel="0" collapsed="false">
      <c r="B46" s="13" t="n">
        <v>0.9</v>
      </c>
      <c r="C46" s="30" t="n">
        <f aca="false">1-B46</f>
        <v>0.1</v>
      </c>
      <c r="D46" s="30" t="n">
        <f aca="false">B46*$D$6+C46*$C$30</f>
        <v>0.1012875</v>
      </c>
      <c r="E46" s="61" t="n">
        <f aca="false">B46^2*$C$22+C46^2*$C$31+2*B46*C46*$C$33</f>
        <v>0.099162568875</v>
      </c>
      <c r="F46" s="30" t="n">
        <f aca="false">SQRT(E46)</f>
        <v>0.314900887383634</v>
      </c>
      <c r="G46" s="62" t="n">
        <f aca="false">(D46-Cover!$C$19)/F46</f>
        <v>0.179064277870087</v>
      </c>
    </row>
    <row r="47" customFormat="false" ht="15" hidden="false" customHeight="false" outlineLevel="0" collapsed="false">
      <c r="B47" s="13" t="n">
        <v>1</v>
      </c>
      <c r="C47" s="30" t="n">
        <f aca="false">1-B47</f>
        <v>0</v>
      </c>
      <c r="D47" s="30" t="n">
        <f aca="false">B47*$D$6+C47*$C$30</f>
        <v>0.1014</v>
      </c>
      <c r="E47" s="61" t="n">
        <f aca="false">B47^2*$C$22+C47^2*$C$31+2*B47*C47*$C$33</f>
        <v>0.106929</v>
      </c>
      <c r="F47" s="30" t="n">
        <f aca="false">SQRT(E47)</f>
        <v>0.327</v>
      </c>
      <c r="G47" s="62" t="n">
        <f aca="false">(D47-Cover!$C$19)/F47</f>
        <v>0.172782874617737</v>
      </c>
    </row>
    <row r="49" customFormat="false" ht="15" hidden="false" customHeight="false" outlineLevel="0" collapsed="false">
      <c r="B49" s="37" t="s">
        <v>191</v>
      </c>
      <c r="D49" s="28" t="n">
        <f aca="false">($C$31-$C$33)/($C$22+$C$31-2*$C$33)</f>
        <v>0.328077394075927</v>
      </c>
    </row>
    <row r="50" customFormat="false" ht="15" hidden="false" customHeight="false" outlineLevel="0" collapsed="false">
      <c r="B50" s="63" t="s">
        <v>192</v>
      </c>
    </row>
    <row r="71" customFormat="false" ht="15" hidden="false" customHeight="false" outlineLevel="0" collapsed="false">
      <c r="B71" s="14" t="s">
        <v>193</v>
      </c>
    </row>
    <row r="72" customFormat="false" ht="15" hidden="false" customHeight="false" outlineLevel="0" collapsed="false">
      <c r="B72" s="14" t="s">
        <v>194</v>
      </c>
    </row>
    <row r="73" customFormat="false" ht="15" hidden="false" customHeight="false" outlineLevel="0" collapsed="false">
      <c r="B73" s="14" t="s">
        <v>195</v>
      </c>
    </row>
    <row r="74" customFormat="false" ht="15" hidden="false" customHeight="false" outlineLevel="0" collapsed="false">
      <c r="B74" s="14" t="s">
        <v>196</v>
      </c>
    </row>
    <row r="75" customFormat="false" ht="15" hidden="false" customHeight="false" outlineLevel="0" collapsed="false">
      <c r="B75" s="14" t="s">
        <v>197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2026-07-05T23:13:35Z</dcterms:created>
  <dc:creator>openpyxl</dc:creator>
  <dc:description/>
  <dc:language>en-US</dc:language>
  <cp:lastModifiedBy/>
  <dcterms:modified xsi:type="dcterms:W3CDTF">2026-07-05T23:13:36Z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